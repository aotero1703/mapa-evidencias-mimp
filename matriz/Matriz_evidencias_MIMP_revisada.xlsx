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Matriz revisada" sheetId="2" state="visible" r:id="rId4"/>
    <sheet name="Listas" sheetId="3" state="visible" r:id="rId5"/>
    <sheet name="Cambios realizados" sheetId="4" state="visible" r:id="rId6"/>
    <sheet name="Por validar" sheetId="5" state="visible" r:id="rId7"/>
  </sheets>
  <definedNames>
    <definedName function="false" hidden="true" localSheetId="3" name="_xlnm._FilterDatabase" vbProcedure="false">'Cambios realizados'!$A$1:$E$235</definedName>
    <definedName function="false" hidden="true" localSheetId="1" name="_xlnm._FilterDatabase" vbProcedure="false">'Matriz revisada'!$A$1:$Z$137</definedName>
    <definedName function="false" hidden="true" localSheetId="4" name="_xlnm._FilterDatabase" vbProcedure="false">'Por validar'!$A$1:$E$38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F39" authorId="0">
      <text>
        <r>
          <rPr>
            <sz val="10"/>
            <rFont val="Arial"/>
            <family val="2"/>
          </rPr>
          <t xml:space="preserve">Antes: C4. Sistematización de registros administrativos
Motivo: Código con el mismo formato que los demás (letra.número)</t>
        </r>
      </text>
    </comment>
    <comment ref="F40" authorId="0">
      <text>
        <r>
          <rPr>
            <sz val="10"/>
            <rFont val="Arial"/>
            <family val="2"/>
          </rPr>
          <t xml:space="preserve">Antes: C4. Sistematización de registros administrativos
Motivo: Código con el mismo formato que los demás (letra.número)</t>
        </r>
      </text>
    </comment>
    <comment ref="F42" authorId="0">
      <text>
        <r>
          <rPr>
            <sz val="10"/>
            <rFont val="Arial"/>
            <family val="2"/>
          </rPr>
          <t xml:space="preserve">Antes: C4. Sistematización de registros administrativos
Motivo: Código con el mismo formato que los demás (letra.número)</t>
        </r>
      </text>
    </comment>
    <comment ref="F46" authorId="0">
      <text>
        <r>
          <rPr>
            <sz val="10"/>
            <rFont val="Arial"/>
            <family val="2"/>
          </rPr>
          <t xml:space="preserve">Antes: D.2. Sistematización de opiniones de expertos
Motivo: Código con el mismo formato que los demás (letra.número)</t>
        </r>
      </text>
    </comment>
    <comment ref="F47" authorId="0">
      <text>
        <r>
          <rPr>
            <sz val="10"/>
            <rFont val="Arial"/>
            <family val="2"/>
          </rPr>
          <t xml:space="preserve">Antes: D.2. Sistematización de opiniones de expertos
Motivo: Código con el mismo formato que los demás (letra.número)</t>
        </r>
      </text>
    </comment>
    <comment ref="F48" authorId="0">
      <text>
        <r>
          <rPr>
            <sz val="10"/>
            <rFont val="Arial"/>
            <family val="2"/>
          </rPr>
          <t xml:space="preserve">Antes: D.2. Sistematización de opiniones de expertos
Motivo: Código con el mismo formato que los demás (letra.número)</t>
        </r>
      </text>
    </comment>
    <comment ref="F49" authorId="0">
      <text>
        <r>
          <rPr>
            <sz val="10"/>
            <rFont val="Arial"/>
            <family val="2"/>
          </rPr>
          <t xml:space="preserve">Antes: D.2. Sistematización de opiniones de expertos
Motivo: Código con el mismo formato que los demás (letra.número)</t>
        </r>
      </text>
    </comment>
    <comment ref="F50" authorId="0">
      <text>
        <r>
          <rPr>
            <sz val="10"/>
            <rFont val="Arial"/>
            <family val="2"/>
          </rPr>
          <t xml:space="preserve">Antes: D.3. Análisis de marcos teóricos o conceptuales reconocidos por la comunidad académica internacional
Motivo: Código con el mismo formato que los demás (letra.número)</t>
        </r>
      </text>
    </comment>
    <comment ref="F51" authorId="0">
      <text>
        <r>
          <rPr>
            <sz val="10"/>
            <rFont val="Arial"/>
            <family val="2"/>
          </rPr>
          <t xml:space="preserve">Antes: D.2. Sistematización de opiniones de expertos
Motivo: Código con el mismo formato que los demás (letra.número)</t>
        </r>
      </text>
    </comment>
    <comment ref="F52" authorId="0">
      <text>
        <r>
          <rPr>
            <sz val="10"/>
            <rFont val="Arial"/>
            <family val="2"/>
          </rPr>
          <t xml:space="preserve">Antes: D.3. Análisis de marcos teóricos o conceptuales reconocidos por la comunidad académica internacional
Motivo: Código con el mismo formato que los demás (letra.número)</t>
        </r>
      </text>
    </comment>
    <comment ref="F65" authorId="0">
      <text>
        <r>
          <rPr>
            <sz val="10"/>
            <rFont val="Arial"/>
            <family val="2"/>
          </rPr>
          <t xml:space="preserve">Antes: D.2. Sistematización de opiniones de expertos
Motivo: Código con el mismo formato que los demás (letra.número)</t>
        </r>
      </text>
    </comment>
    <comment ref="F67" authorId="0">
      <text>
        <r>
          <rPr>
            <sz val="10"/>
            <rFont val="Arial"/>
            <family val="2"/>
          </rPr>
          <t xml:space="preserve">Antes: D.2. Sistematización de opiniones de expertos
Motivo: Código con el mismo formato que los demás (letra.número)</t>
        </r>
      </text>
    </comment>
    <comment ref="F68" authorId="0">
      <text>
        <r>
          <rPr>
            <sz val="10"/>
            <rFont val="Arial"/>
            <family val="2"/>
          </rPr>
          <t xml:space="preserve">Antes: D.3. Análisis de marcos teóricos o conceptuales reconocidos por la comunidad académica internacional
Motivo: Código con el mismo formato que los demás (letra.número)</t>
        </r>
      </text>
    </comment>
    <comment ref="F98" authorId="0">
      <text>
        <r>
          <rPr>
            <sz val="10"/>
            <rFont val="Arial"/>
            <family val="2"/>
          </rPr>
          <t xml:space="preserve">Antes: D.2. Sistematización de opiniones de expertos
Motivo: Código con el mismo formato que los demás (letra.número)</t>
        </r>
      </text>
    </comment>
    <comment ref="F99" authorId="0">
      <text>
        <r>
          <rPr>
            <sz val="10"/>
            <rFont val="Arial"/>
            <family val="2"/>
          </rPr>
          <t xml:space="preserve">Antes: D.3. Análisis de marcos teóricos o conceptuales reconocidos por la comunidad académica internacional
Motivo: Código con el mismo formato que los demás (letra.número)</t>
        </r>
      </text>
    </comment>
    <comment ref="F127" authorId="0">
      <text>
        <r>
          <rPr>
            <sz val="10"/>
            <rFont val="Arial"/>
            <family val="2"/>
          </rPr>
          <t xml:space="preserve">Antes: D.2. Sistematización de opiniones de expertos
Motivo: Código con el mismo formato que los demás (letra.número)</t>
        </r>
      </text>
    </comment>
    <comment ref="F130" authorId="0">
      <text>
        <r>
          <rPr>
            <sz val="10"/>
            <rFont val="Arial"/>
            <family val="2"/>
          </rPr>
          <t xml:space="preserve">Antes: D.2. Sistematización de opiniones de expertos
Motivo: Código con el mismo formato que los demás (letra.número)</t>
        </r>
      </text>
    </comment>
    <comment ref="F131" authorId="0">
      <text>
        <r>
          <rPr>
            <sz val="10"/>
            <rFont val="Arial"/>
            <family val="2"/>
          </rPr>
          <t xml:space="preserve">Antes: D.2. Sistematización de opiniones de expertos
Motivo: Código con el mismo formato que los demás (letra.número)</t>
        </r>
      </text>
    </comment>
    <comment ref="G4" authorId="0">
      <text>
        <r>
          <rPr>
            <sz val="10"/>
            <rFont val="Arial"/>
            <family val="2"/>
          </rPr>
          <t xml:space="preserve">Antes: DO GENDER-NEUTRAL JOB ADS PROMOTE DIVERSITY?
EXPERIMENTAL EVIDENCE FROM LATIN AMERICA’S TECH SECTOR
Motivo: Saltos de línea y espacios sobrantes</t>
        </r>
      </text>
    </comment>
    <comment ref="G34" authorId="0">
      <text>
        <r>
          <rPr>
            <sz val="10"/>
            <rFont val="Arial"/>
            <family val="2"/>
          </rPr>
          <t xml:space="preserve">Antes: Género y educacion superior 
 Una mirada al sistema universitario peruano desde las trayectorias estudiantiles
Motivo: Saltos de línea y espacios sobrantes</t>
        </r>
      </text>
    </comment>
    <comment ref="G36" authorId="0">
      <text>
        <r>
          <rPr>
            <sz val="10"/>
            <rFont val="Arial"/>
            <family val="2"/>
          </rPr>
          <t xml:space="preserve">Antes: Gender equality in Peru
Towards a Better Sharing of Paid and Unpaid Work
Motivo: Saltos de línea y espacios sobrantes</t>
        </r>
      </text>
    </comment>
    <comment ref="G55" authorId="0">
      <text>
        <r>
          <rPr>
            <sz val="10"/>
            <rFont val="Arial"/>
            <family val="2"/>
          </rPr>
          <t xml:space="preserve">Antes: Tiempos de cuidados
 Desigualdades, economía feminista y trabajo de cuidados en el Perú. Aportes para transformar un sistema en crisis
Motivo: Saltos de línea y espacios sobrantes</t>
        </r>
      </text>
    </comment>
    <comment ref="G58" authorId="0">
      <text>
        <r>
          <rPr>
            <sz val="10"/>
            <rFont val="Arial"/>
            <family val="2"/>
          </rPr>
          <t xml:space="preserve">Antes: Igualdad de género en el Perú
 Hacia una mejor distribución del trabajo remunerado y no remunerado
Motivo: Saltos de línea y espacios sobrantes</t>
        </r>
      </text>
    </comment>
    <comment ref="G94" authorId="0">
      <text>
        <r>
          <rPr>
            <sz val="10"/>
            <rFont val="Arial"/>
            <family val="2"/>
          </rPr>
          <t xml:space="preserve">Antes: (Un)Conditional Love in the Time of Conditional Cash Transfers:
 The Effect of the Peruvian JUNTOS Program on Spousal Abuse
Motivo: Saltos de línea y espacios sobrantes</t>
        </r>
      </text>
    </comment>
    <comment ref="G96" authorId="0">
      <text>
        <r>
          <rPr>
            <sz val="10"/>
            <rFont val="Arial"/>
            <family val="2"/>
          </rPr>
          <t xml:space="preserve">Antes: GENDER-BASED VIOLENCE IMPUNITY 
 REGIONAL STUDY: PERU CASE STUDY
Motivo: Saltos de línea y espacios sobrantes</t>
        </r>
      </text>
    </comment>
    <comment ref="H3" authorId="0">
      <text>
        <r>
          <rPr>
            <sz val="10"/>
            <rFont val="Arial"/>
            <family val="2"/>
          </rPr>
          <t xml:space="preserve">Antes: Barrón, Manuel
Basurto, Pía
Castro, Juan
Zarate, Román
Motivo: Autores separados por punto y coma, en una sola línea</t>
        </r>
      </text>
    </comment>
    <comment ref="H4" authorId="0">
      <text>
        <r>
          <rPr>
            <sz val="10"/>
            <rFont val="Arial"/>
            <family val="2"/>
          </rPr>
          <t xml:space="preserve">Antes: Del Carpio, Lucia
Fujiwara, Thomas
Motivo: Autores separados por punto y coma, en una sola línea</t>
        </r>
      </text>
    </comment>
    <comment ref="H5" authorId="0">
      <text>
        <r>
          <rPr>
            <sz val="10"/>
            <rFont val="Arial"/>
            <family val="2"/>
          </rPr>
          <t xml:space="preserve">Antes: Agurto, Marco 
 Serra, Danila 
 Sudipta,Sarangi
Motivo: Autores separados por punto y coma, en una sola línea</t>
        </r>
      </text>
    </comment>
    <comment ref="H9" authorId="0">
      <text>
        <r>
          <rPr>
            <sz val="10"/>
            <rFont val="Arial"/>
            <family val="2"/>
          </rPr>
          <t xml:space="preserve">Antes: Arela, Ronal
 Riesco, Gustavo
Motivo: Autores separados por punto y coma, en una sola línea</t>
        </r>
      </text>
    </comment>
    <comment ref="H10" authorId="0">
      <text>
        <r>
          <rPr>
            <sz val="10"/>
            <rFont val="Arial"/>
            <family val="2"/>
          </rPr>
          <t xml:space="preserve">Antes: Sánchez, Alan
 Favara, Marta
Motivo: Autores separados por punto y coma, en una sola línea</t>
        </r>
      </text>
    </comment>
    <comment ref="H13" authorId="0">
      <text>
        <r>
          <rPr>
            <sz val="10"/>
            <rFont val="Arial"/>
            <family val="2"/>
          </rPr>
          <t xml:space="preserve">Antes: Rojas, Vanessa
 Guerrero, Gabriela
 Vargas, Jimena
Motivo: Autores separados por punto y coma, en una sola línea</t>
        </r>
      </text>
    </comment>
    <comment ref="H14" authorId="0">
      <text>
        <r>
          <rPr>
            <sz val="10"/>
            <rFont val="Arial"/>
            <family val="2"/>
          </rPr>
          <t xml:space="preserve">Antes: Castro, Juan
 Yamada, Gustavo
Motivo: Autores separados por punto y coma, en una sola línea</t>
        </r>
      </text>
    </comment>
    <comment ref="H15" authorId="0">
      <text>
        <r>
          <rPr>
            <sz val="10"/>
            <rFont val="Arial"/>
            <family val="2"/>
          </rPr>
          <t xml:space="preserve">Antes: Field, Erica,
 Hurtado, Daniel
 Severino, Renzo
Motivo: Autores separados por punto y coma, en una sola línea</t>
        </r>
      </text>
    </comment>
    <comment ref="H17" authorId="0">
      <text>
        <r>
          <rPr>
            <sz val="10"/>
            <rFont val="Arial"/>
            <family val="2"/>
          </rPr>
          <t xml:space="preserve">Antes: Iparraguirre, Yadiraah
 Valer, Julio
Motivo: Autores separados por punto y coma, en una sola línea</t>
        </r>
      </text>
    </comment>
    <comment ref="H22" authorId="0">
      <text>
        <r>
          <rPr>
            <sz val="10"/>
            <rFont val="Arial"/>
            <family val="2"/>
          </rPr>
          <t xml:space="preserve">Antes: Arias, Walter
 Rivera, Renzo
Motivo: Autores separados por punto y coma, en una sola línea</t>
        </r>
      </text>
    </comment>
    <comment ref="H23" authorId="0">
      <text>
        <r>
          <rPr>
            <sz val="10"/>
            <rFont val="Arial"/>
            <family val="2"/>
          </rPr>
          <t xml:space="preserve">Antes: Vaccaro, Giannina
 Basurto, Maria Pia
 Beltrán, Arlette
 Montoya, Matiano
Motivo: Autores separados por punto y coma, en una sola línea</t>
        </r>
      </text>
    </comment>
    <comment ref="H24" authorId="0">
      <text>
        <r>
          <rPr>
            <sz val="10"/>
            <rFont val="Arial"/>
            <family val="2"/>
          </rPr>
          <t xml:space="preserve">Antes: Santos, Patrizia
 Brewer, Jessica
 Lopez, Miguel
 Paz-Soldan, Valerie
 Chaparro, Pia
Motivo: Autores separados por punto y coma, en una sola línea</t>
        </r>
      </text>
    </comment>
    <comment ref="H25" authorId="0">
      <text>
        <r>
          <rPr>
            <sz val="10"/>
            <rFont val="Arial"/>
            <family val="2"/>
          </rPr>
          <t xml:space="preserve">Antes: Konda, Kelika
Casrillo, Rostislav
Leon, Segundo
Silva-Santisteban, Alfonso
Salazar, Ximena
Klausner, Jeff
Coates, Thomas
Cáceres, Carlos
Motivo: Autores separados por punto y coma, en una sola línea</t>
        </r>
      </text>
    </comment>
    <comment ref="H27" authorId="0">
      <text>
        <r>
          <rPr>
            <sz val="10"/>
            <rFont val="Arial"/>
            <family val="2"/>
          </rPr>
          <t xml:space="preserve">Antes: Alcázar, Lorena
 Huerta, Shirley
 Távara Fernando
Motivo: Autores separados por punto y coma, en una sola línea</t>
        </r>
      </text>
    </comment>
    <comment ref="H31" authorId="0">
      <text>
        <r>
          <rPr>
            <sz val="10"/>
            <rFont val="Arial"/>
            <family val="2"/>
          </rPr>
          <t xml:space="preserve">Antes: Cruz, Maria
 Gil, Mirian
 Campos, Cynthia
Motivo: Autores separados por punto y coma, en una sola línea</t>
        </r>
      </text>
    </comment>
    <comment ref="H32" authorId="0">
      <text>
        <r>
          <rPr>
            <sz val="10"/>
            <rFont val="Arial"/>
            <family val="2"/>
          </rPr>
          <t xml:space="preserve">Antes: Guerrero, Gabriela
 Rojas, Vanessa
Motivo: Autores separados por punto y coma, en una sola línea</t>
        </r>
      </text>
    </comment>
    <comment ref="H33" authorId="0">
      <text>
        <r>
          <rPr>
            <sz val="10"/>
            <rFont val="Arial"/>
            <family val="2"/>
          </rPr>
          <t xml:space="preserve">Antes: Guerrero, Gabriela
 Rojas, Vanessa
 Vargas, Jimena
Motivo: Autores separados por punto y coma, en una sola línea</t>
        </r>
      </text>
    </comment>
    <comment ref="H35" authorId="0">
      <text>
        <r>
          <rPr>
            <sz val="10"/>
            <rFont val="Arial"/>
            <family val="2"/>
          </rPr>
          <t xml:space="preserve">Antes: Domínguez, Nicolás
 Vargas, Carmen
Motivo: Autores separados por punto y coma, en una sola línea</t>
        </r>
      </text>
    </comment>
    <comment ref="H38" authorId="0">
      <text>
        <r>
          <rPr>
            <sz val="10"/>
            <rFont val="Arial"/>
            <family val="2"/>
          </rPr>
          <t xml:space="preserve">Antes: Campaña, Juan 
 Gimenez, Ignacio
Motivo: Autores separados por punto y coma, en una sola línea</t>
        </r>
      </text>
    </comment>
    <comment ref="H41" authorId="0">
      <text>
        <r>
          <rPr>
            <sz val="10"/>
            <rFont val="Arial"/>
            <family val="2"/>
          </rPr>
          <t xml:space="preserve">Antes: Diaz, Ana
 Magdalena, Salas
 Piras, Claudia
 Agustina Suaya
Motivo: Autores separados por punto y coma, en una sola línea</t>
        </r>
      </text>
    </comment>
    <comment ref="H43" authorId="0">
      <text>
        <r>
          <rPr>
            <sz val="10"/>
            <rFont val="Arial"/>
            <family val="2"/>
          </rPr>
          <t xml:space="preserve">Antes: Arrunategui, Gabriela
 Gieseeke, Micaela
Motivo: Autores separados por punto y coma, en una sola línea</t>
        </r>
      </text>
    </comment>
    <comment ref="H45" authorId="0">
      <text>
        <r>
          <rPr>
            <sz val="10"/>
            <rFont val="Arial"/>
            <family val="2"/>
          </rPr>
          <t xml:space="preserve">Antes: Andersson, Matilda
 Risberg, Minna
Motivo: Autores separados por punto y coma, en una sola línea</t>
        </r>
      </text>
    </comment>
    <comment ref="H46" authorId="0">
      <text>
        <r>
          <rPr>
            <sz val="10"/>
            <rFont val="Arial"/>
            <family val="2"/>
          </rPr>
          <t xml:space="preserve">Antes: Sarmiento, Katherine
 Aguilar, Aracely
Motivo: Autores separados por punto y coma, en una sola línea</t>
        </r>
      </text>
    </comment>
    <comment ref="H47" authorId="0">
      <text>
        <r>
          <rPr>
            <sz val="10"/>
            <rFont val="Arial"/>
            <family val="2"/>
          </rPr>
          <t xml:space="preserve">Antes: Sarmiento, Katherine
 Aguilar, Aracely
Motivo: Autores separados por punto y coma, en una sola línea</t>
        </r>
      </text>
    </comment>
    <comment ref="H50" authorId="0">
      <text>
        <r>
          <rPr>
            <sz val="10"/>
            <rFont val="Arial"/>
            <family val="2"/>
          </rPr>
          <t xml:space="preserve">Antes: Fondo de Población de las Naciones Unidas-Perú (UNFPA)
 Programa de las Naciones Unidas para el Desarrollo (PNUD)
 Organización Mundial de la Salud (OMS)
 Ministerio de Asuntos Exteriores y de Cooperación 
 Emakunde
Motivo: Autores separados por punto y coma, en una sola línea</t>
        </r>
      </text>
    </comment>
    <comment ref="H54" authorId="0">
      <text>
        <r>
          <rPr>
            <sz val="10"/>
            <rFont val="Arial"/>
            <family val="2"/>
          </rPr>
          <t xml:space="preserve">Antes: Barrantes, Roxana
 Matos-Trifu, Paulo
Motivo: Autores separados por punto y coma, en una sola línea</t>
        </r>
      </text>
    </comment>
    <comment ref="H55" authorId="0">
      <text>
        <r>
          <rPr>
            <sz val="10"/>
            <rFont val="Arial"/>
            <family val="2"/>
          </rPr>
          <t xml:space="preserve">Antes: Pérez, Leda
 Lavado, Tamia
 Velazco, Julia
 Velazco, Jackeline 
 Vásquez, Giovanna 
 Osorio, Susana
 Ñopo, Hugo 
 Alayza, Alejandra
Motivo: Autores separados por punto y coma, en una sola línea</t>
        </r>
      </text>
    </comment>
    <comment ref="H56" authorId="0">
      <text>
        <r>
          <rPr>
            <sz val="10"/>
            <rFont val="Arial"/>
            <family val="2"/>
          </rPr>
          <t xml:space="preserve">Antes: Rentería, José María
 Boyd, Chris
Motivo: Autores separados por punto y coma, en una sola línea</t>
        </r>
      </text>
    </comment>
    <comment ref="H57" authorId="0">
      <text>
        <r>
          <rPr>
            <sz val="10"/>
            <rFont val="Arial"/>
            <family val="2"/>
          </rPr>
          <t xml:space="preserve">Antes: Amarante, Verónica
 Rossel, Cecilia
Motivo: Autores separados por punto y coma, en una sola línea</t>
        </r>
      </text>
    </comment>
    <comment ref="H67" authorId="0">
      <text>
        <r>
          <rPr>
            <sz val="10"/>
            <rFont val="Arial"/>
            <family val="2"/>
          </rPr>
          <t xml:space="preserve">Antes: Instituto Nacional de Estadística e Informática (INEI)
 Ministerio de la Mujer y Poblaciones Vulnerables (MIMP)
Motivo: Autores separados por punto y coma, en una sola línea</t>
        </r>
      </text>
    </comment>
    <comment ref="H71" authorId="0">
      <text>
        <r>
          <rPr>
            <sz val="10"/>
            <rFont val="Arial"/>
            <family val="2"/>
          </rPr>
          <t xml:space="preserve">Antes: Hernández, Akram
 Chacón, Horacio
 Vargas, Rodrigo
 Grendas, Leandro
 Bendezu, Guido
Motivo: Autores separados por punto y coma, en una sola línea</t>
        </r>
      </text>
    </comment>
    <comment ref="H72" authorId="0">
      <text>
        <r>
          <rPr>
            <sz val="10"/>
            <rFont val="Arial"/>
            <family val="2"/>
          </rPr>
          <t xml:space="preserve">Antes: Roman, Victor
 Roman, Angela
 Galeas, Maryorie
Motivo: Autores separados por punto y coma, en una sola línea</t>
        </r>
      </text>
    </comment>
    <comment ref="H73" authorId="0">
      <text>
        <r>
          <rPr>
            <sz val="10"/>
            <rFont val="Arial"/>
            <family val="2"/>
          </rPr>
          <t xml:space="preserve">Antes: Arias, Walter
 Rivera, Renzo
Motivo: Autores separados por punto y coma, en una sola línea</t>
        </r>
      </text>
    </comment>
    <comment ref="H74" authorId="0">
      <text>
        <r>
          <rPr>
            <sz val="10"/>
            <rFont val="Arial"/>
            <family val="2"/>
          </rPr>
          <t xml:space="preserve">Antes: Quispe, Antonio 
 Roman, Victor
 Cornelio, Deysy
 Florez, Yohaida
 Romero, Abigail
 Vargas, Lucia
 Sedano, Claudia
Motivo: Autores separados por punto y coma, en una sola línea</t>
        </r>
      </text>
    </comment>
    <comment ref="H75" authorId="0">
      <text>
        <r>
          <rPr>
            <sz val="10"/>
            <rFont val="Arial"/>
            <family val="2"/>
          </rPr>
          <t xml:space="preserve">Antes: Burgos, Ruth
 Soriano, Anderson
 Bendezu, Guido
 Urrunaga, Diego
 Toro, Carlos
 Benites, Vicente
Motivo: Autores separados por punto y coma, en una sola línea</t>
        </r>
      </text>
    </comment>
    <comment ref="H76" authorId="0">
      <text>
        <r>
          <rPr>
            <sz val="10"/>
            <rFont val="Arial"/>
            <family val="2"/>
          </rPr>
          <t xml:space="preserve">Antes: Hernández, Wilson
 Cozzubo, Ángelo
 Aguilar, José
 Agüero, Jorge
 Mendoza, José
Motivo: Autores separados por punto y coma, en una sola línea</t>
        </r>
      </text>
    </comment>
    <comment ref="H78" authorId="0">
      <text>
        <r>
          <rPr>
            <sz val="10"/>
            <rFont val="Arial"/>
            <family val="2"/>
          </rPr>
          <t xml:space="preserve">Antes: Olson, Eric
 Pantzer, Robert
 Velez-Grajales, Viviana
 Wolfenzon, Denisse
Motivo: Autores separados por punto y coma, en una sola línea</t>
        </r>
      </text>
    </comment>
    <comment ref="H79" authorId="0">
      <text>
        <r>
          <rPr>
            <sz val="10"/>
            <rFont val="Arial"/>
            <family val="2"/>
          </rPr>
          <t xml:space="preserve">Antes: Quispe, Antonio
 Vargas, Lucía
 Sotelo, Manuel
 Rojas, Yalisse
 Sabaduche, Jose
 Navarro, Cleyber
Motivo: Autores separados por punto y coma, en una sola línea</t>
        </r>
      </text>
    </comment>
    <comment ref="H81" authorId="0">
      <text>
        <r>
          <rPr>
            <sz val="10"/>
            <rFont val="Arial"/>
            <family val="2"/>
          </rPr>
          <t xml:space="preserve">Antes: Svec, Joseph
 Andic, Tanja
Motivo: Autores separados por punto y coma, en una sola línea</t>
        </r>
      </text>
    </comment>
    <comment ref="H82" authorId="0">
      <text>
        <r>
          <rPr>
            <sz val="10"/>
            <rFont val="Arial"/>
            <family val="2"/>
          </rPr>
          <t xml:space="preserve">Antes: Gálvez, Juan
 Paz, Valerie
 Herrera, Phabiola
 DeLea, Suzanne 
 Gilman, Robert
Motivo: Autores separados por punto y coma, en una sola línea</t>
        </r>
      </text>
    </comment>
    <comment ref="H83" authorId="0">
      <text>
        <r>
          <rPr>
            <sz val="10"/>
            <rFont val="Arial"/>
            <family val="2"/>
          </rPr>
          <t xml:space="preserve">Antes: Castro, Rodolfo
 Cerellino, Lila
 Rivera, Renzo
Motivo: Autores separados por punto y coma, en una sola línea</t>
        </r>
      </text>
    </comment>
    <comment ref="H84" authorId="0">
      <text>
        <r>
          <rPr>
            <sz val="10"/>
            <rFont val="Arial"/>
            <family val="2"/>
          </rPr>
          <t xml:space="preserve">Antes: Benavides, Martin
 León, Juan
 Etesse, Manuel
 Espezúa, Lucía
 Stuart, Jimena
Motivo: Autores separados por punto y coma, en una sola línea</t>
        </r>
      </text>
    </comment>
    <comment ref="H86" authorId="0">
      <text>
        <r>
          <rPr>
            <sz val="10"/>
            <rFont val="Arial"/>
            <family val="2"/>
          </rPr>
          <t xml:space="preserve">Antes: Vaccaro, Giannina
 Mayorca, Ellen
Motivo: Autores separados por punto y coma, en una sola línea</t>
        </r>
      </text>
    </comment>
    <comment ref="H87" authorId="0">
      <text>
        <r>
          <rPr>
            <sz val="10"/>
            <rFont val="Arial"/>
            <family val="2"/>
          </rPr>
          <t xml:space="preserve">Antes: Hernández, Akram
Chacón, Horacio
Vargas, Rodrigo
Grendas, Leandro
Bendezu, Guido
Motivo: Autores separados por punto y coma, en una sola línea</t>
        </r>
      </text>
    </comment>
    <comment ref="H88" authorId="0">
      <text>
        <r>
          <rPr>
            <sz val="10"/>
            <rFont val="Arial"/>
            <family val="2"/>
          </rPr>
          <t xml:space="preserve">Antes: Salas, Ursula
 Campos, Luz
 Real, Jakelyn
 Usquiano, Luis
 Cahuina, Paula
 Zevallos, Alejandra
 Osada, Jorge
 Salvador, José
Motivo: Autores separados por punto y coma, en una sola línea</t>
        </r>
      </text>
    </comment>
    <comment ref="H89" authorId="0">
      <text>
        <r>
          <rPr>
            <sz val="10"/>
            <rFont val="Arial"/>
            <family val="2"/>
          </rPr>
          <t xml:space="preserve">Antes: Mascaro, Pedro
 García, Susana
 Munares, Oscar
Motivo: Autores separados por punto y coma, en una sola línea</t>
        </r>
      </text>
    </comment>
    <comment ref="H91" authorId="0">
      <text>
        <r>
          <rPr>
            <sz val="10"/>
            <rFont val="Arial"/>
            <family val="2"/>
          </rPr>
          <t xml:space="preserve">Antes: Alcázar, Lorena
 Ocampo, Diego
Motivo: Autores separados por punto y coma, en una sola línea</t>
        </r>
      </text>
    </comment>
    <comment ref="H92" authorId="0">
      <text>
        <r>
          <rPr>
            <sz val="10"/>
            <rFont val="Arial"/>
            <family val="2"/>
          </rPr>
          <t xml:space="preserve">Antes: Zamora, Carolain
 Caira, Brenda
 Fernandez, Daniel
 Martinez, Raisa
 Llamo, Anita
 Gálvez, Ricardo
 Urrunaga, Diego
 Toro, Carlos
Motivo: Autores separados por punto y coma, en una sola línea</t>
        </r>
      </text>
    </comment>
    <comment ref="H93" authorId="0">
      <text>
        <r>
          <rPr>
            <sz val="10"/>
            <rFont val="Arial"/>
            <family val="2"/>
          </rPr>
          <t xml:space="preserve">Antes: Suarez, Eliana
 McGrath, Eleanor
 Morales, Andrea
 Ordoñez, Jhoys
 Reynaga, Gumercinda
Motivo: Autores separados por punto y coma, en una sola línea</t>
        </r>
      </text>
    </comment>
    <comment ref="H94" authorId="0">
      <text>
        <r>
          <rPr>
            <sz val="10"/>
            <rFont val="Arial"/>
            <family val="2"/>
          </rPr>
          <t xml:space="preserve">Antes: Díaz, Juan José
 Saldarriaga, Victor
Motivo: Autores separados por punto y coma, en una sola línea</t>
        </r>
      </text>
    </comment>
    <comment ref="H97" authorId="0">
      <text>
        <r>
          <rPr>
            <sz val="10"/>
            <rFont val="Arial"/>
            <family val="2"/>
          </rPr>
          <t xml:space="preserve">Antes: May, Swee
 Espinoza, Damarys
 Rondon, Marta
 Jimenez, Maria
 Sanchez, Elena
 Ojeda, Nely
 Sanchez, Sixto
 Williams, Michelle
Motivo: Autores separados por punto y coma, en una sola línea</t>
        </r>
      </text>
    </comment>
    <comment ref="H100" authorId="0">
      <text>
        <r>
          <rPr>
            <sz val="10"/>
            <rFont val="Arial"/>
            <family val="2"/>
          </rPr>
          <t xml:space="preserve">Antes: Vered Daitch
 Adi Turjeman
 Itamar Poran
 Noam Tau
 Irit Ayalon-Dangur
 Jeries Nashashibi
 Dafna Yahav
 Mical Paul
 Leonard Leibovici
Motivo: Autores separados por punto y coma, en una sola línea</t>
        </r>
      </text>
    </comment>
    <comment ref="H101" authorId="0">
      <text>
        <r>
          <rPr>
            <sz val="10"/>
            <rFont val="Arial"/>
            <family val="2"/>
          </rPr>
          <t xml:space="preserve">Antes: Zhihui Cai
 , 
 Xitao Fan
 , 
 Jianxia Du
Motivo: Autores separados por punto y coma, en una sola línea</t>
        </r>
      </text>
    </comment>
    <comment ref="H102" authorId="0">
      <text>
        <r>
          <rPr>
            <sz val="10"/>
            <rFont val="Arial"/>
            <family val="2"/>
          </rPr>
          <t xml:space="preserve">Antes: Indah Rini
 Iva Sarifah 
 Riyadi
Motivo: Autores separados por punto y coma, en una sola línea</t>
        </r>
      </text>
    </comment>
    <comment ref="H103" authorId="0">
      <text>
        <r>
          <rPr>
            <sz val="10"/>
            <rFont val="Arial"/>
            <family val="2"/>
          </rPr>
          <t xml:space="preserve">Antes: Fazilat Siddiq 
 Ronny Scherer
Motivo: Autores separados por punto y coma, en una sola línea</t>
        </r>
      </text>
    </comment>
    <comment ref="H104" authorId="0">
      <text>
        <r>
          <rPr>
            <sz val="10"/>
            <rFont val="Arial"/>
            <family val="2"/>
          </rPr>
          <t xml:space="preserve">Antes: Atika Qazi
 Najmul Hasan
 Olusola Abayomi-Alli
 Glenn Hardaker
 Ronny Scherer
 Yeahia Sarker
 Sanjoy Kumar Paul
 Jaafar Zubairu Maitama
Motivo: Autores separados por punto y coma, en una sola línea</t>
        </r>
      </text>
    </comment>
    <comment ref="H105" authorId="0">
      <text>
        <r>
          <rPr>
            <sz val="10"/>
            <rFont val="Arial"/>
            <family val="2"/>
          </rPr>
          <t xml:space="preserve">Antes: Alice H. Eagty
 Mona G. Makhijani
 Bruce G. Klonsky
Motivo: Autores separados por punto y coma, en una sola línea</t>
        </r>
      </text>
    </comment>
    <comment ref="H106" authorId="0">
      <text>
        <r>
          <rPr>
            <sz val="10"/>
            <rFont val="Arial"/>
            <family val="2"/>
          </rPr>
          <t xml:space="preserve">Antes: Daniel Voyer
 Susan Voyer
Motivo: Autores separados por punto y coma, en una sola línea</t>
        </r>
      </text>
    </comment>
    <comment ref="H107" authorId="0">
      <text>
        <r>
          <rPr>
            <sz val="10"/>
            <rFont val="Arial"/>
            <family val="2"/>
          </rPr>
          <t xml:space="preserve">Antes: Alice Eagly
 Steven Karau
Motivo: Autores separados por punto y coma, en una sola línea</t>
        </r>
      </text>
    </comment>
    <comment ref="H109" authorId="0">
      <text>
        <r>
          <rPr>
            <sz val="10"/>
            <rFont val="Arial"/>
            <family val="2"/>
          </rPr>
          <t xml:space="preserve">Antes: Maria Caprile
 Elisabetta Addis
 Cecilia Castaño
 Ineke Klinge
 Marina Larios
 Danièle Meulders
 Jörg Müller
 Síle O’Dorchai
 Mária Palasik
 Robert Plasman
 Seppo Roivas
 Felizitas Sagebiel
 Londa Schiebinger
 Núria Vallès
 Susana Vázquez-Cupeiro
Motivo: Autores separados por punto y coma, en una sola línea</t>
        </r>
      </text>
    </comment>
    <comment ref="H110" authorId="0">
      <text>
        <r>
          <rPr>
            <sz val="10"/>
            <rFont val="Arial"/>
            <family val="2"/>
          </rPr>
          <t xml:space="preserve">Antes: Katharina Kugler
 Julia Reif
 Tamara Kaschner
 Felix Brodbeck
Motivo: Autores separados por punto y coma, en una sola línea</t>
        </r>
      </text>
    </comment>
    <comment ref="H111" authorId="0">
      <text>
        <r>
          <rPr>
            <sz val="10"/>
            <rFont val="Arial"/>
            <family val="2"/>
          </rPr>
          <t xml:space="preserve">Antes: Amanda Koch
 Susan D'Mello
 Paul Sackett
Motivo: Autores separados por punto y coma, en una sola línea</t>
        </r>
      </text>
    </comment>
    <comment ref="H112" authorId="0">
      <text>
        <r>
          <rPr>
            <sz val="10"/>
            <rFont val="Arial"/>
            <family val="2"/>
          </rPr>
          <t xml:space="preserve">Antes: Andreas Kotsadam
 Dan-Olof Rooth
Motivo: Autores separados por punto y coma, en una sola línea</t>
        </r>
      </text>
    </comment>
    <comment ref="H113" authorId="0">
      <text>
        <r>
          <rPr>
            <sz val="10"/>
            <rFont val="Arial"/>
            <family val="2"/>
          </rPr>
          <t xml:space="preserve">Antes: Lisa Abraham
 Johannes Hallermeier
 Alison Stein
Motivo: Autores separados por punto y coma, en una sola línea</t>
        </r>
      </text>
    </comment>
    <comment ref="H114" authorId="0">
      <text>
        <r>
          <rPr>
            <sz val="10"/>
            <rFont val="Arial"/>
            <family val="2"/>
          </rPr>
          <t xml:space="preserve">Antes: Alexander Coutts
 Boon Han Koh
 Zahra Murad
Motivo: Autores separados por punto y coma, en una sola línea</t>
        </r>
      </text>
    </comment>
    <comment ref="H115" authorId="0">
      <text>
        <r>
          <rPr>
            <sz val="10"/>
            <rFont val="Arial"/>
            <family val="2"/>
          </rPr>
          <t xml:space="preserve">Antes: Perihan Saygin
 Thomas Knight
Motivo: Autores separados por punto y coma, en una sola línea</t>
        </r>
      </text>
    </comment>
    <comment ref="H116" authorId="0">
      <text>
        <r>
          <rPr>
            <sz val="10"/>
            <rFont val="Arial"/>
            <family val="2"/>
          </rPr>
          <t xml:space="preserve">Antes: Casarico, Alessandra
 Schuetz, Jana
 Uebelmesser, Silke
Motivo: Autores separados por punto y coma, en una sola línea</t>
        </r>
      </text>
    </comment>
    <comment ref="H117" authorId="0">
      <text>
        <r>
          <rPr>
            <sz val="10"/>
            <rFont val="Arial"/>
            <family val="2"/>
          </rPr>
          <t xml:space="preserve">Antes: Berber Kramer
 Lilian Waithaka
 Stellamaris Aju
Motivo: Autores separados por punto y coma, en una sola línea</t>
        </r>
      </text>
    </comment>
    <comment ref="H119" authorId="0">
      <text>
        <r>
          <rPr>
            <sz val="10"/>
            <rFont val="Arial"/>
            <family val="2"/>
          </rPr>
          <t xml:space="preserve">Antes: Gebresilassie Tadesse
 Techilo Tinsae
 Girum Nakie
 Gidey Rtbey
 Fantahun Andualem
 Mulualem Kelebie
 Getasew Kibralew
 Asnake Tadesse Abate
 Shegaye Shumet
 Mamaru Melkam
 Setegn Fentahun
Motivo: Autores separados por punto y coma, en una sola línea</t>
        </r>
      </text>
    </comment>
    <comment ref="H120" authorId="0">
      <text>
        <r>
          <rPr>
            <sz val="10"/>
            <rFont val="Arial"/>
            <family val="2"/>
          </rPr>
          <t xml:space="preserve">Antes: Alexander Vu
 Atif Adam
 Andrea Wirtz
 Kiemanh Pham
 Leonard Rubenstein
 Nancy Glass
 Chris Beyrer
 Sonal Singh
Motivo: Autores separados por punto y coma, en una sola línea</t>
        </r>
      </text>
    </comment>
    <comment ref="H122" authorId="0">
      <text>
        <r>
          <rPr>
            <sz val="10"/>
            <rFont val="Arial"/>
            <family val="2"/>
          </rPr>
          <t xml:space="preserve">Antes: Julia Vaillant
 Estelle Koussoubé
 Danielle Roth
 Rachael Pierotti
 Mazeda Hossain
 Kathryn L Falb
Motivo: Autores separados por punto y coma, en una sola línea</t>
        </r>
      </text>
    </comment>
    <comment ref="H123" authorId="0">
      <text>
        <r>
          <rPr>
            <sz val="10"/>
            <rFont val="Arial"/>
            <family val="2"/>
          </rPr>
          <t xml:space="preserve">Antes: Lindsay Stark
 Khudejha Asghar
 Ilana Seff
 Gary Yu
 Teame Tesfay Gessesse
 Leora Ward
 Asham Assazenew Baysa
 Amy Neiman
 Kathryn L Falb
Motivo: Autores separados por punto y coma, en una sola línea</t>
        </r>
      </text>
    </comment>
    <comment ref="H124" authorId="0">
      <text>
        <r>
          <rPr>
            <sz val="10"/>
            <rFont val="Arial"/>
            <family val="2"/>
          </rPr>
          <t xml:space="preserve">Antes: Carinne Brody
 Pheak Chhoun
 Sovannary Tuot
 Anne E Fehrenbacher
 Alexander Moran
 Dallas Swendeman
 Siyan Yi
Motivo: Autores separados por punto y coma, en una sola línea</t>
        </r>
      </text>
    </comment>
    <comment ref="H125" authorId="0">
      <text>
        <r>
          <rPr>
            <sz val="10"/>
            <rFont val="Arial"/>
            <family val="2"/>
          </rPr>
          <t xml:space="preserve">Antes: Mazeda Hossain
 Cathy Zimmerman
 Ligia Kiss
 Tanya Abramsky
 Drissa Kone
 Monika Bakayoko-Topolska
 Jeannie Annan
 Heidi Lehmann
 Charlotte Watts
Motivo: Autores separados por punto y coma, en una sola línea</t>
        </r>
      </text>
    </comment>
    <comment ref="H126" authorId="0">
      <text>
        <r>
          <rPr>
            <sz val="10"/>
            <rFont val="Arial"/>
            <family val="2"/>
          </rPr>
          <t xml:space="preserve">Antes: Vered Daitch
 Adi Turjeman
 Itamar Poran
 Noam Tau
 Irit Ayalon-Dangur
 Jeries Nashashibi
 Dafna Yahav
 Mical Paul 
 Leonard Leibovici
Motivo: Autores separados por punto y coma, en una sola línea</t>
        </r>
      </text>
    </comment>
    <comment ref="H129" authorId="0">
      <text>
        <r>
          <rPr>
            <sz val="10"/>
            <rFont val="Arial"/>
            <family val="2"/>
          </rPr>
          <t xml:space="preserve">Antes: Ivancheva, Mariya 
 Lynch, Kathleen
 Keating, Kathryn
Motivo: Autores separados por punto y coma, en una sola línea</t>
        </r>
      </text>
    </comment>
    <comment ref="H131" authorId="0">
      <text>
        <r>
          <rPr>
            <sz val="10"/>
            <rFont val="Arial"/>
            <family val="2"/>
          </rPr>
          <t xml:space="preserve">Antes: Mckie, Linda
 Bowlby, Sophia
 Gregory, Susan
Motivo: Autores separados por punto y coma, en una sola línea</t>
        </r>
      </text>
    </comment>
    <comment ref="H132" authorId="0">
      <text>
        <r>
          <rPr>
            <sz val="10"/>
            <rFont val="Arial"/>
            <family val="2"/>
          </rPr>
          <t xml:space="preserve">Antes: Avitable, Ciro, 
Muñoz, Ana Lemos, Renata
Davis, Jonathan
Motivo: Autores separados por punto y coma, en una sola línea</t>
        </r>
      </text>
    </comment>
    <comment ref="H133" authorId="0">
      <text>
        <r>
          <rPr>
            <sz val="10"/>
            <rFont val="Arial"/>
            <family val="2"/>
          </rPr>
          <t xml:space="preserve">Antes: Martinez, Joan
Campos, Christopher
Motivo: Autores separados por punto y coma, en una sola línea</t>
        </r>
      </text>
    </comment>
    <comment ref="H135" authorId="0">
      <text>
        <r>
          <rPr>
            <sz val="10"/>
            <rFont val="Arial"/>
            <family val="2"/>
          </rPr>
          <t xml:space="preserve">Antes: Piras, Claudia
Field, Erica
Boyer, Christopfer
Leher, Rachel
Morrison, Andrew
De Marco, Sergio
Motivo: Autores separados por punto y coma, en una sola línea</t>
        </r>
      </text>
    </comment>
    <comment ref="H137" authorId="0">
      <text>
        <r>
          <rPr>
            <sz val="10"/>
            <rFont val="Arial"/>
            <family val="2"/>
          </rPr>
          <t xml:space="preserve">Antes: Hernández, Wilson
Dador, Jennie
Cassaretto, Mónica
Motivo: Autores separados por punto y coma, en una sola línea</t>
        </r>
      </text>
    </comment>
    <comment ref="J2" authorId="0">
      <text>
        <r>
          <rPr>
            <sz val="10"/>
            <rFont val="Arial"/>
            <family val="2"/>
          </rPr>
          <t xml:space="preserve">Antes: Peru
Motivo: Nombres de país estandarizados, sin saltos de línea ni repetidos</t>
        </r>
      </text>
    </comment>
    <comment ref="J3" authorId="0">
      <text>
        <r>
          <rPr>
            <sz val="10"/>
            <rFont val="Arial"/>
            <family val="2"/>
          </rPr>
          <t xml:space="preserve">Antes: Peru
Motivo: Nombres de país estandarizados, sin saltos de línea ni repetidos</t>
        </r>
      </text>
    </comment>
    <comment ref="J4" authorId="0">
      <text>
        <r>
          <rPr>
            <sz val="10"/>
            <rFont val="Arial"/>
            <family val="2"/>
          </rPr>
          <t xml:space="preserve">Antes: Peru
Motivo: Nombres de país estandarizados, sin saltos de línea ni repetidos</t>
        </r>
      </text>
    </comment>
    <comment ref="J5" authorId="0">
      <text>
        <r>
          <rPr>
            <sz val="10"/>
            <rFont val="Arial"/>
            <family val="2"/>
          </rPr>
          <t xml:space="preserve">Antes: Peru
Motivo: Nombres de país estandarizados, sin saltos de línea ni repetidos</t>
        </r>
      </text>
    </comment>
    <comment ref="J6" authorId="0">
      <text>
        <r>
          <rPr>
            <sz val="10"/>
            <rFont val="Arial"/>
            <family val="2"/>
          </rPr>
          <t xml:space="preserve">Antes: Peru
Motivo: Nombres de país estandarizados, sin saltos de línea ni repetidos</t>
        </r>
      </text>
    </comment>
    <comment ref="J7" authorId="0">
      <text>
        <r>
          <rPr>
            <sz val="10"/>
            <rFont val="Arial"/>
            <family val="2"/>
          </rPr>
          <t xml:space="preserve">Antes: Peru
Motivo: Nombres de país estandarizados, sin saltos de línea ni repetidos</t>
        </r>
      </text>
    </comment>
    <comment ref="J8" authorId="0">
      <text>
        <r>
          <rPr>
            <sz val="10"/>
            <rFont val="Arial"/>
            <family val="2"/>
          </rPr>
          <t xml:space="preserve">Antes: Peru
Motivo: Nombres de país estandarizados, sin saltos de línea ni repetidos</t>
        </r>
      </text>
    </comment>
    <comment ref="J9" authorId="0">
      <text>
        <r>
          <rPr>
            <sz val="10"/>
            <rFont val="Arial"/>
            <family val="2"/>
          </rPr>
          <t xml:space="preserve">Antes: Peru
Motivo: Nombres de país estandarizados, sin saltos de línea ni repetidos</t>
        </r>
      </text>
    </comment>
    <comment ref="J10" authorId="0">
      <text>
        <r>
          <rPr>
            <sz val="10"/>
            <rFont val="Arial"/>
            <family val="2"/>
          </rPr>
          <t xml:space="preserve">Antes: Peru
Motivo: Nombres de país estandarizados, sin saltos de línea ni repetidos</t>
        </r>
      </text>
    </comment>
    <comment ref="J11" authorId="0">
      <text>
        <r>
          <rPr>
            <sz val="10"/>
            <rFont val="Arial"/>
            <family val="2"/>
          </rPr>
          <t xml:space="preserve">Antes: Peru
Motivo: Nombres de país estandarizados, sin saltos de línea ni repetidos</t>
        </r>
      </text>
    </comment>
    <comment ref="J12" authorId="0">
      <text>
        <r>
          <rPr>
            <sz val="10"/>
            <rFont val="Arial"/>
            <family val="2"/>
          </rPr>
          <t xml:space="preserve">Antes: Peru
Motivo: Nombres de país estandarizados, sin saltos de línea ni repetidos</t>
        </r>
      </text>
    </comment>
    <comment ref="J13" authorId="0">
      <text>
        <r>
          <rPr>
            <sz val="10"/>
            <rFont val="Arial"/>
            <family val="2"/>
          </rPr>
          <t xml:space="preserve">Antes: Peru
Motivo: Nombres de país estandarizados, sin saltos de línea ni repetidos</t>
        </r>
      </text>
    </comment>
    <comment ref="J14" authorId="0">
      <text>
        <r>
          <rPr>
            <sz val="10"/>
            <rFont val="Arial"/>
            <family val="2"/>
          </rPr>
          <t xml:space="preserve">Antes: Peru
Motivo: Nombres de país estandarizados, sin saltos de línea ni repetidos</t>
        </r>
      </text>
    </comment>
    <comment ref="J15" authorId="0">
      <text>
        <r>
          <rPr>
            <sz val="10"/>
            <rFont val="Arial"/>
            <family val="2"/>
          </rPr>
          <t xml:space="preserve">Antes: Peru
Motivo: Nombres de país estandarizados, sin saltos de línea ni repetidos</t>
        </r>
      </text>
    </comment>
    <comment ref="J16" authorId="0">
      <text>
        <r>
          <rPr>
            <sz val="10"/>
            <rFont val="Arial"/>
            <family val="2"/>
          </rPr>
          <t xml:space="preserve">Antes: Peru
Motivo: Nombres de país estandarizados, sin saltos de línea ni repetidos</t>
        </r>
      </text>
    </comment>
    <comment ref="J17" authorId="0">
      <text>
        <r>
          <rPr>
            <sz val="10"/>
            <rFont val="Arial"/>
            <family val="2"/>
          </rPr>
          <t xml:space="preserve">Antes: Peru
Motivo: Nombres de país estandarizados, sin saltos de línea ni repetidos</t>
        </r>
      </text>
    </comment>
    <comment ref="J18" authorId="0">
      <text>
        <r>
          <rPr>
            <sz val="10"/>
            <rFont val="Arial"/>
            <family val="2"/>
          </rPr>
          <t xml:space="preserve">Antes: Peru
Motivo: Nombres de país estandarizados, sin saltos de línea ni repetidos</t>
        </r>
      </text>
    </comment>
    <comment ref="J19" authorId="0">
      <text>
        <r>
          <rPr>
            <sz val="10"/>
            <rFont val="Arial"/>
            <family val="2"/>
          </rPr>
          <t xml:space="preserve">Antes: Peru
Motivo: Nombres de país estandarizados, sin saltos de línea ni repetidos</t>
        </r>
      </text>
    </comment>
    <comment ref="J20" authorId="0">
      <text>
        <r>
          <rPr>
            <sz val="10"/>
            <rFont val="Arial"/>
            <family val="2"/>
          </rPr>
          <t xml:space="preserve">Antes: Peru
Motivo: Nombres de país estandarizados, sin saltos de línea ni repetidos</t>
        </r>
      </text>
    </comment>
    <comment ref="J21" authorId="0">
      <text>
        <r>
          <rPr>
            <sz val="10"/>
            <rFont val="Arial"/>
            <family val="2"/>
          </rPr>
          <t xml:space="preserve">Antes: Peru
Motivo: Nombres de país estandarizados, sin saltos de línea ni repetidos</t>
        </r>
      </text>
    </comment>
    <comment ref="J22" authorId="0">
      <text>
        <r>
          <rPr>
            <sz val="10"/>
            <rFont val="Arial"/>
            <family val="2"/>
          </rPr>
          <t xml:space="preserve">Antes: Peru
Motivo: Nombres de país estandarizados, sin saltos de línea ni repetidos</t>
        </r>
      </text>
    </comment>
    <comment ref="J23" authorId="0">
      <text>
        <r>
          <rPr>
            <sz val="10"/>
            <rFont val="Arial"/>
            <family val="2"/>
          </rPr>
          <t xml:space="preserve">Antes: Peru
Motivo: Nombres de país estandarizados, sin saltos de línea ni repetidos</t>
        </r>
      </text>
    </comment>
    <comment ref="J24" authorId="0">
      <text>
        <r>
          <rPr>
            <sz val="10"/>
            <rFont val="Arial"/>
            <family val="2"/>
          </rPr>
          <t xml:space="preserve">Antes: Peru
Motivo: Nombres de país estandarizados, sin saltos de línea ni repetidos</t>
        </r>
      </text>
    </comment>
    <comment ref="J25" authorId="0">
      <text>
        <r>
          <rPr>
            <sz val="10"/>
            <rFont val="Arial"/>
            <family val="2"/>
          </rPr>
          <t xml:space="preserve">Antes: Peru
Motivo: Nombres de país estandarizados, sin saltos de línea ni repetidos</t>
        </r>
      </text>
    </comment>
    <comment ref="J26" authorId="0">
      <text>
        <r>
          <rPr>
            <sz val="10"/>
            <rFont val="Arial"/>
            <family val="2"/>
          </rPr>
          <t xml:space="preserve">Antes: Peru
Motivo: Nombres de país estandarizados, sin saltos de línea ni repetidos</t>
        </r>
      </text>
    </comment>
    <comment ref="J27" authorId="0">
      <text>
        <r>
          <rPr>
            <sz val="10"/>
            <rFont val="Arial"/>
            <family val="2"/>
          </rPr>
          <t xml:space="preserve">Antes: Peru
Motivo: Nombres de país estandarizados, sin saltos de línea ni repetidos</t>
        </r>
      </text>
    </comment>
    <comment ref="J28" authorId="0">
      <text>
        <r>
          <rPr>
            <sz val="10"/>
            <rFont val="Arial"/>
            <family val="2"/>
          </rPr>
          <t xml:space="preserve">Antes: Peru
Motivo: Nombres de país estandarizados, sin saltos de línea ni repetidos</t>
        </r>
      </text>
    </comment>
    <comment ref="J29" authorId="0">
      <text>
        <r>
          <rPr>
            <sz val="10"/>
            <rFont val="Arial"/>
            <family val="2"/>
          </rPr>
          <t xml:space="preserve">Antes: Peru
Motivo: Nombres de país estandarizados, sin saltos de línea ni repetidos</t>
        </r>
      </text>
    </comment>
    <comment ref="J30" authorId="0">
      <text>
        <r>
          <rPr>
            <sz val="10"/>
            <rFont val="Arial"/>
            <family val="2"/>
          </rPr>
          <t xml:space="preserve">Antes: Peru
Motivo: Nombres de país estandarizados, sin saltos de línea ni repetidos</t>
        </r>
      </text>
    </comment>
    <comment ref="J31" authorId="0">
      <text>
        <r>
          <rPr>
            <sz val="10"/>
            <rFont val="Arial"/>
            <family val="2"/>
          </rPr>
          <t xml:space="preserve">Antes: Peru
Motivo: Nombres de país estandarizados, sin saltos de línea ni repetidos</t>
        </r>
      </text>
    </comment>
    <comment ref="J32" authorId="0">
      <text>
        <r>
          <rPr>
            <sz val="10"/>
            <rFont val="Arial"/>
            <family val="2"/>
          </rPr>
          <t xml:space="preserve">Antes: Peru
Motivo: Nombres de país estandarizados, sin saltos de línea ni repetidos</t>
        </r>
      </text>
    </comment>
    <comment ref="J33" authorId="0">
      <text>
        <r>
          <rPr>
            <sz val="10"/>
            <rFont val="Arial"/>
            <family val="2"/>
          </rPr>
          <t xml:space="preserve">Antes: Peru
Motivo: Nombres de país estandarizados, sin saltos de línea ni repetidos</t>
        </r>
      </text>
    </comment>
    <comment ref="J34" authorId="0">
      <text>
        <r>
          <rPr>
            <sz val="10"/>
            <rFont val="Arial"/>
            <family val="2"/>
          </rPr>
          <t xml:space="preserve">Antes: Peru
Motivo: Nombres de país estandarizados, sin saltos de línea ni repetidos</t>
        </r>
      </text>
    </comment>
    <comment ref="J35" authorId="0">
      <text>
        <r>
          <rPr>
            <sz val="10"/>
            <rFont val="Arial"/>
            <family val="2"/>
          </rPr>
          <t xml:space="preserve">Antes: Peru
Motivo: Nombres de país estandarizados, sin saltos de línea ni repetidos</t>
        </r>
      </text>
    </comment>
    <comment ref="J36" authorId="0">
      <text>
        <r>
          <rPr>
            <sz val="10"/>
            <rFont val="Arial"/>
            <family val="2"/>
          </rPr>
          <t xml:space="preserve">Antes: Peru
Motivo: Nombres de país estandarizados, sin saltos de línea ni repetidos</t>
        </r>
      </text>
    </comment>
    <comment ref="J37" authorId="0">
      <text>
        <r>
          <rPr>
            <sz val="10"/>
            <rFont val="Arial"/>
            <family val="2"/>
          </rPr>
          <t xml:space="preserve">Antes: Peru
Motivo: Nombres de país estandarizados, sin saltos de línea ni repetidos</t>
        </r>
      </text>
    </comment>
    <comment ref="J38" authorId="0">
      <text>
        <r>
          <rPr>
            <sz val="10"/>
            <rFont val="Arial"/>
            <family val="2"/>
          </rPr>
          <t xml:space="preserve">Antes: Peru
Motivo: Nombres de país estandarizados, sin saltos de línea ni repetidos</t>
        </r>
      </text>
    </comment>
    <comment ref="J39" authorId="0">
      <text>
        <r>
          <rPr>
            <sz val="10"/>
            <rFont val="Arial"/>
            <family val="2"/>
          </rPr>
          <t xml:space="preserve">Antes: Peru
Motivo: Nombres de país estandarizados, sin saltos de línea ni repetidos</t>
        </r>
      </text>
    </comment>
    <comment ref="J40" authorId="0">
      <text>
        <r>
          <rPr>
            <sz val="10"/>
            <rFont val="Arial"/>
            <family val="2"/>
          </rPr>
          <t xml:space="preserve">Antes: Peru
Motivo: Nombres de país estandarizados, sin saltos de línea ni repetidos</t>
        </r>
      </text>
    </comment>
    <comment ref="J41" authorId="0">
      <text>
        <r>
          <rPr>
            <sz val="10"/>
            <rFont val="Arial"/>
            <family val="2"/>
          </rPr>
          <t xml:space="preserve">Antes: Peru
Motivo: Nombres de país estandarizados, sin saltos de línea ni repetidos</t>
        </r>
      </text>
    </comment>
    <comment ref="J42" authorId="0">
      <text>
        <r>
          <rPr>
            <sz val="10"/>
            <rFont val="Arial"/>
            <family val="2"/>
          </rPr>
          <t xml:space="preserve">Antes: Peru
Motivo: Nombres de país estandarizados, sin saltos de línea ni repetidos</t>
        </r>
      </text>
    </comment>
    <comment ref="J43" authorId="0">
      <text>
        <r>
          <rPr>
            <sz val="10"/>
            <rFont val="Arial"/>
            <family val="2"/>
          </rPr>
          <t xml:space="preserve">Antes: Peru
Motivo: Nombres de país estandarizados, sin saltos de línea ni repetidos</t>
        </r>
      </text>
    </comment>
    <comment ref="J44" authorId="0">
      <text>
        <r>
          <rPr>
            <sz val="10"/>
            <rFont val="Arial"/>
            <family val="2"/>
          </rPr>
          <t xml:space="preserve">Antes: Peru
Motivo: Nombres de país estandarizados, sin saltos de línea ni repetidos</t>
        </r>
      </text>
    </comment>
    <comment ref="J45" authorId="0">
      <text>
        <r>
          <rPr>
            <sz val="10"/>
            <rFont val="Arial"/>
            <family val="2"/>
          </rPr>
          <t xml:space="preserve">Antes: Peru
Motivo: Nombres de país estandarizados, sin saltos de línea ni repetidos</t>
        </r>
      </text>
    </comment>
    <comment ref="J46" authorId="0">
      <text>
        <r>
          <rPr>
            <sz val="10"/>
            <rFont val="Arial"/>
            <family val="2"/>
          </rPr>
          <t xml:space="preserve">Antes: Peru
Motivo: Nombres de país estandarizados, sin saltos de línea ni repetidos</t>
        </r>
      </text>
    </comment>
    <comment ref="J47" authorId="0">
      <text>
        <r>
          <rPr>
            <sz val="10"/>
            <rFont val="Arial"/>
            <family val="2"/>
          </rPr>
          <t xml:space="preserve">Antes: Peru
Motivo: Nombres de país estandarizados, sin saltos de línea ni repetidos</t>
        </r>
      </text>
    </comment>
    <comment ref="J48" authorId="0">
      <text>
        <r>
          <rPr>
            <sz val="10"/>
            <rFont val="Arial"/>
            <family val="2"/>
          </rPr>
          <t xml:space="preserve">Antes: Peru
Motivo: Nombres de país estandarizados, sin saltos de línea ni repetidos</t>
        </r>
      </text>
    </comment>
    <comment ref="J49" authorId="0">
      <text>
        <r>
          <rPr>
            <sz val="10"/>
            <rFont val="Arial"/>
            <family val="2"/>
          </rPr>
          <t xml:space="preserve">Antes: Peru
Motivo: Nombres de país estandarizados, sin saltos de línea ni repetidos</t>
        </r>
      </text>
    </comment>
    <comment ref="J50" authorId="0">
      <text>
        <r>
          <rPr>
            <sz val="10"/>
            <rFont val="Arial"/>
            <family val="2"/>
          </rPr>
          <t xml:space="preserve">Antes: Peru
Motivo: Nombres de país estandarizados, sin saltos de línea ni repetidos</t>
        </r>
      </text>
    </comment>
    <comment ref="J51" authorId="0">
      <text>
        <r>
          <rPr>
            <sz val="10"/>
            <rFont val="Arial"/>
            <family val="2"/>
          </rPr>
          <t xml:space="preserve">Antes: Peru
Motivo: Nombres de país estandarizados, sin saltos de línea ni repetidos</t>
        </r>
      </text>
    </comment>
    <comment ref="J52" authorId="0">
      <text>
        <r>
          <rPr>
            <sz val="10"/>
            <rFont val="Arial"/>
            <family val="2"/>
          </rPr>
          <t xml:space="preserve">Antes: Peru
Motivo: Nombres de país estandarizados, sin saltos de línea ni repetidos</t>
        </r>
      </text>
    </comment>
    <comment ref="J53" authorId="0">
      <text>
        <r>
          <rPr>
            <sz val="10"/>
            <rFont val="Arial"/>
            <family val="2"/>
          </rPr>
          <t xml:space="preserve">Antes: Peru
Motivo: Nombres de país estandarizados, sin saltos de línea ni repetidos</t>
        </r>
      </text>
    </comment>
    <comment ref="J54" authorId="0">
      <text>
        <r>
          <rPr>
            <sz val="10"/>
            <rFont val="Arial"/>
            <family val="2"/>
          </rPr>
          <t xml:space="preserve">Antes: Peru
Motivo: Nombres de país estandarizados, sin saltos de línea ni repetidos</t>
        </r>
      </text>
    </comment>
    <comment ref="J55" authorId="0">
      <text>
        <r>
          <rPr>
            <sz val="10"/>
            <rFont val="Arial"/>
            <family val="2"/>
          </rPr>
          <t xml:space="preserve">Antes: Peru
Motivo: Nombres de país estandarizados, sin saltos de línea ni repetidos</t>
        </r>
      </text>
    </comment>
    <comment ref="J56" authorId="0">
      <text>
        <r>
          <rPr>
            <sz val="10"/>
            <rFont val="Arial"/>
            <family val="2"/>
          </rPr>
          <t xml:space="preserve">Antes: Peru
Motivo: Nombres de país estandarizados, sin saltos de línea ni repetidos</t>
        </r>
      </text>
    </comment>
    <comment ref="J57" authorId="0">
      <text>
        <r>
          <rPr>
            <sz val="10"/>
            <rFont val="Arial"/>
            <family val="2"/>
          </rPr>
          <t xml:space="preserve">Antes: Peru
Motivo: Nombres de país estandarizados, sin saltos de línea ni repetidos</t>
        </r>
      </text>
    </comment>
    <comment ref="J58" authorId="0">
      <text>
        <r>
          <rPr>
            <sz val="10"/>
            <rFont val="Arial"/>
            <family val="2"/>
          </rPr>
          <t xml:space="preserve">Antes: Peru
Motivo: Nombres de país estandarizados, sin saltos de línea ni repetidos</t>
        </r>
      </text>
    </comment>
    <comment ref="J59" authorId="0">
      <text>
        <r>
          <rPr>
            <sz val="10"/>
            <rFont val="Arial"/>
            <family val="2"/>
          </rPr>
          <t xml:space="preserve">Antes: Peru
Motivo: Nombres de país estandarizados, sin saltos de línea ni repetidos</t>
        </r>
      </text>
    </comment>
    <comment ref="J60" authorId="0">
      <text>
        <r>
          <rPr>
            <sz val="10"/>
            <rFont val="Arial"/>
            <family val="2"/>
          </rPr>
          <t xml:space="preserve">Antes: Peru
Motivo: Nombres de país estandarizados, sin saltos de línea ni repetidos</t>
        </r>
      </text>
    </comment>
    <comment ref="J61" authorId="0">
      <text>
        <r>
          <rPr>
            <sz val="10"/>
            <rFont val="Arial"/>
            <family val="2"/>
          </rPr>
          <t xml:space="preserve">Antes: Peru
Motivo: Nombres de país estandarizados, sin saltos de línea ni repetidos</t>
        </r>
      </text>
    </comment>
    <comment ref="J62" authorId="0">
      <text>
        <r>
          <rPr>
            <sz val="10"/>
            <rFont val="Arial"/>
            <family val="2"/>
          </rPr>
          <t xml:space="preserve">Antes: Peru
Motivo: Nombres de país estandarizados, sin saltos de línea ni repetidos</t>
        </r>
      </text>
    </comment>
    <comment ref="J63" authorId="0">
      <text>
        <r>
          <rPr>
            <sz val="10"/>
            <rFont val="Arial"/>
            <family val="2"/>
          </rPr>
          <t xml:space="preserve">Antes: Peru
Motivo: Nombres de país estandarizados, sin saltos de línea ni repetidos</t>
        </r>
      </text>
    </comment>
    <comment ref="J64" authorId="0">
      <text>
        <r>
          <rPr>
            <sz val="10"/>
            <rFont val="Arial"/>
            <family val="2"/>
          </rPr>
          <t xml:space="preserve">Antes: Peru
Motivo: Nombres de país estandarizados, sin saltos de línea ni repetidos</t>
        </r>
      </text>
    </comment>
    <comment ref="J65" authorId="0">
      <text>
        <r>
          <rPr>
            <sz val="10"/>
            <rFont val="Arial"/>
            <family val="2"/>
          </rPr>
          <t xml:space="preserve">Antes: Peru
Motivo: Nombres de país estandarizados, sin saltos de línea ni repetidos</t>
        </r>
      </text>
    </comment>
    <comment ref="J66" authorId="0">
      <text>
        <r>
          <rPr>
            <sz val="10"/>
            <rFont val="Arial"/>
            <family val="2"/>
          </rPr>
          <t xml:space="preserve">Antes: Peru
Motivo: Nombres de país estandarizados, sin saltos de línea ni repetidos</t>
        </r>
      </text>
    </comment>
    <comment ref="J67" authorId="0">
      <text>
        <r>
          <rPr>
            <sz val="10"/>
            <rFont val="Arial"/>
            <family val="2"/>
          </rPr>
          <t xml:space="preserve">Antes: Peru
Motivo: Nombres de país estandarizados, sin saltos de línea ni repetidos</t>
        </r>
      </text>
    </comment>
    <comment ref="J68" authorId="0">
      <text>
        <r>
          <rPr>
            <sz val="10"/>
            <rFont val="Arial"/>
            <family val="2"/>
          </rPr>
          <t xml:space="preserve">Antes: Peru
Motivo: Nombres de país estandarizados, sin saltos de línea ni repetidos</t>
        </r>
      </text>
    </comment>
    <comment ref="J69" authorId="0">
      <text>
        <r>
          <rPr>
            <sz val="10"/>
            <rFont val="Arial"/>
            <family val="2"/>
          </rPr>
          <t xml:space="preserve">Antes: Peru
Motivo: Nombres de país estandarizados, sin saltos de línea ni repetidos</t>
        </r>
      </text>
    </comment>
    <comment ref="J70" authorId="0">
      <text>
        <r>
          <rPr>
            <sz val="10"/>
            <rFont val="Arial"/>
            <family val="2"/>
          </rPr>
          <t xml:space="preserve">Antes: Peru
Motivo: Nombres de país estandarizados, sin saltos de línea ni repetidos</t>
        </r>
      </text>
    </comment>
    <comment ref="J71" authorId="0">
      <text>
        <r>
          <rPr>
            <sz val="10"/>
            <rFont val="Arial"/>
            <family val="2"/>
          </rPr>
          <t xml:space="preserve">Antes: Peru
Motivo: Nombres de país estandarizados, sin saltos de línea ni repetidos</t>
        </r>
      </text>
    </comment>
    <comment ref="J72" authorId="0">
      <text>
        <r>
          <rPr>
            <sz val="10"/>
            <rFont val="Arial"/>
            <family val="2"/>
          </rPr>
          <t xml:space="preserve">Antes: Peru
Motivo: Nombres de país estandarizados, sin saltos de línea ni repetidos</t>
        </r>
      </text>
    </comment>
    <comment ref="J73" authorId="0">
      <text>
        <r>
          <rPr>
            <sz val="10"/>
            <rFont val="Arial"/>
            <family val="2"/>
          </rPr>
          <t xml:space="preserve">Antes: Peru
Motivo: Nombres de país estandarizados, sin saltos de línea ni repetidos</t>
        </r>
      </text>
    </comment>
    <comment ref="J74" authorId="0">
      <text>
        <r>
          <rPr>
            <sz val="10"/>
            <rFont val="Arial"/>
            <family val="2"/>
          </rPr>
          <t xml:space="preserve">Antes: Peru
Motivo: Nombres de país estandarizados, sin saltos de línea ni repetidos</t>
        </r>
      </text>
    </comment>
    <comment ref="J75" authorId="0">
      <text>
        <r>
          <rPr>
            <sz val="10"/>
            <rFont val="Arial"/>
            <family val="2"/>
          </rPr>
          <t xml:space="preserve">Antes: Peru
Motivo: Nombres de país estandarizados, sin saltos de línea ni repetidos</t>
        </r>
      </text>
    </comment>
    <comment ref="J76" authorId="0">
      <text>
        <r>
          <rPr>
            <sz val="10"/>
            <rFont val="Arial"/>
            <family val="2"/>
          </rPr>
          <t xml:space="preserve">Antes: Peru
Motivo: Nombres de país estandarizados, sin saltos de línea ni repetidos</t>
        </r>
      </text>
    </comment>
    <comment ref="J77" authorId="0">
      <text>
        <r>
          <rPr>
            <sz val="10"/>
            <rFont val="Arial"/>
            <family val="2"/>
          </rPr>
          <t xml:space="preserve">Antes: Peru
Motivo: Nombres de país estandarizados, sin saltos de línea ni repetidos</t>
        </r>
      </text>
    </comment>
    <comment ref="J78" authorId="0">
      <text>
        <r>
          <rPr>
            <sz val="10"/>
            <rFont val="Arial"/>
            <family val="2"/>
          </rPr>
          <t xml:space="preserve">Antes: Peru
Motivo: Nombres de país estandarizados, sin saltos de línea ni repetidos</t>
        </r>
      </text>
    </comment>
    <comment ref="J79" authorId="0">
      <text>
        <r>
          <rPr>
            <sz val="10"/>
            <rFont val="Arial"/>
            <family val="2"/>
          </rPr>
          <t xml:space="preserve">Antes: Peru
Motivo: Nombres de país estandarizados, sin saltos de línea ni repetidos</t>
        </r>
      </text>
    </comment>
    <comment ref="J80" authorId="0">
      <text>
        <r>
          <rPr>
            <sz val="10"/>
            <rFont val="Arial"/>
            <family val="2"/>
          </rPr>
          <t xml:space="preserve">Antes: Peru
Motivo: Nombres de país estandarizados, sin saltos de línea ni repetidos</t>
        </r>
      </text>
    </comment>
    <comment ref="J81" authorId="0">
      <text>
        <r>
          <rPr>
            <sz val="10"/>
            <rFont val="Arial"/>
            <family val="2"/>
          </rPr>
          <t xml:space="preserve">Antes: Peru
Motivo: Nombres de país estandarizados, sin saltos de línea ni repetidos</t>
        </r>
      </text>
    </comment>
    <comment ref="J82" authorId="0">
      <text>
        <r>
          <rPr>
            <sz val="10"/>
            <rFont val="Arial"/>
            <family val="2"/>
          </rPr>
          <t xml:space="preserve">Antes: Peru
Motivo: Nombres de país estandarizados, sin saltos de línea ni repetidos</t>
        </r>
      </text>
    </comment>
    <comment ref="J83" authorId="0">
      <text>
        <r>
          <rPr>
            <sz val="10"/>
            <rFont val="Arial"/>
            <family val="2"/>
          </rPr>
          <t xml:space="preserve">Antes: Peru
Motivo: Nombres de país estandarizados, sin saltos de línea ni repetidos</t>
        </r>
      </text>
    </comment>
    <comment ref="J84" authorId="0">
      <text>
        <r>
          <rPr>
            <sz val="10"/>
            <rFont val="Arial"/>
            <family val="2"/>
          </rPr>
          <t xml:space="preserve">Antes: Peru
Motivo: Nombres de país estandarizados, sin saltos de línea ni repetidos</t>
        </r>
      </text>
    </comment>
    <comment ref="J85" authorId="0">
      <text>
        <r>
          <rPr>
            <sz val="10"/>
            <rFont val="Arial"/>
            <family val="2"/>
          </rPr>
          <t xml:space="preserve">Antes: Peru
Motivo: Nombres de país estandarizados, sin saltos de línea ni repetidos</t>
        </r>
      </text>
    </comment>
    <comment ref="J86" authorId="0">
      <text>
        <r>
          <rPr>
            <sz val="10"/>
            <rFont val="Arial"/>
            <family val="2"/>
          </rPr>
          <t xml:space="preserve">Antes: Peru
Motivo: Nombres de país estandarizados, sin saltos de línea ni repetidos</t>
        </r>
      </text>
    </comment>
    <comment ref="J87" authorId="0">
      <text>
        <r>
          <rPr>
            <sz val="10"/>
            <rFont val="Arial"/>
            <family val="2"/>
          </rPr>
          <t xml:space="preserve">Antes: Peru
Motivo: Nombres de país estandarizados, sin saltos de línea ni repetidos</t>
        </r>
      </text>
    </comment>
    <comment ref="J88" authorId="0">
      <text>
        <r>
          <rPr>
            <sz val="10"/>
            <rFont val="Arial"/>
            <family val="2"/>
          </rPr>
          <t xml:space="preserve">Antes: Peru
Motivo: Nombres de país estandarizados, sin saltos de línea ni repetidos</t>
        </r>
      </text>
    </comment>
    <comment ref="J89" authorId="0">
      <text>
        <r>
          <rPr>
            <sz val="10"/>
            <rFont val="Arial"/>
            <family val="2"/>
          </rPr>
          <t xml:space="preserve">Antes: Peru
Motivo: Nombres de país estandarizados, sin saltos de línea ni repetidos</t>
        </r>
      </text>
    </comment>
    <comment ref="J90" authorId="0">
      <text>
        <r>
          <rPr>
            <sz val="10"/>
            <rFont val="Arial"/>
            <family val="2"/>
          </rPr>
          <t xml:space="preserve">Antes: Peru
Motivo: Nombres de país estandarizados, sin saltos de línea ni repetidos</t>
        </r>
      </text>
    </comment>
    <comment ref="J91" authorId="0">
      <text>
        <r>
          <rPr>
            <sz val="10"/>
            <rFont val="Arial"/>
            <family val="2"/>
          </rPr>
          <t xml:space="preserve">Antes: Peru
Motivo: Nombres de país estandarizados, sin saltos de línea ni repetidos</t>
        </r>
      </text>
    </comment>
    <comment ref="J92" authorId="0">
      <text>
        <r>
          <rPr>
            <sz val="10"/>
            <rFont val="Arial"/>
            <family val="2"/>
          </rPr>
          <t xml:space="preserve">Antes: Peru
Motivo: Nombres de país estandarizados, sin saltos de línea ni repetidos</t>
        </r>
      </text>
    </comment>
    <comment ref="J93" authorId="0">
      <text>
        <r>
          <rPr>
            <sz val="10"/>
            <rFont val="Arial"/>
            <family val="2"/>
          </rPr>
          <t xml:space="preserve">Antes: Peru
Motivo: Nombres de país estandarizados, sin saltos de línea ni repetidos</t>
        </r>
      </text>
    </comment>
    <comment ref="J94" authorId="0">
      <text>
        <r>
          <rPr>
            <sz val="10"/>
            <rFont val="Arial"/>
            <family val="2"/>
          </rPr>
          <t xml:space="preserve">Antes: Peru
Motivo: Nombres de país estandarizados, sin saltos de línea ni repetidos</t>
        </r>
      </text>
    </comment>
    <comment ref="J95" authorId="0">
      <text>
        <r>
          <rPr>
            <sz val="10"/>
            <rFont val="Arial"/>
            <family val="2"/>
          </rPr>
          <t xml:space="preserve">Antes: Peru
Motivo: Nombres de país estandarizados, sin saltos de línea ni repetidos</t>
        </r>
      </text>
    </comment>
    <comment ref="J96" authorId="0">
      <text>
        <r>
          <rPr>
            <sz val="10"/>
            <rFont val="Arial"/>
            <family val="2"/>
          </rPr>
          <t xml:space="preserve">Antes: Peru
Motivo: Nombres de país estandarizados, sin saltos de línea ni repetidos</t>
        </r>
      </text>
    </comment>
    <comment ref="J97" authorId="0">
      <text>
        <r>
          <rPr>
            <sz val="10"/>
            <rFont val="Arial"/>
            <family val="2"/>
          </rPr>
          <t xml:space="preserve">Antes: Peru
Motivo: Nombres de país estandarizados, sin saltos de línea ni repetidos</t>
        </r>
      </text>
    </comment>
    <comment ref="J98" authorId="0">
      <text>
        <r>
          <rPr>
            <sz val="10"/>
            <rFont val="Arial"/>
            <family val="2"/>
          </rPr>
          <t xml:space="preserve">Antes: Peru
Motivo: Nombres de país estandarizados, sin saltos de línea ni repetidos</t>
        </r>
      </text>
    </comment>
    <comment ref="J99" authorId="0">
      <text>
        <r>
          <rPr>
            <sz val="10"/>
            <rFont val="Arial"/>
            <family val="2"/>
          </rPr>
          <t xml:space="preserve">Antes: Peru
Motivo: Nombres de país estandarizados, sin saltos de línea ni repetidos</t>
        </r>
      </text>
    </comment>
    <comment ref="J100" authorId="0">
      <text>
        <r>
          <rPr>
            <sz val="10"/>
            <rFont val="Arial"/>
            <family val="2"/>
          </rPr>
          <t xml:space="preserve">Antes: Estados Unidos de América
Motivo: Nombres de país estandarizados, sin saltos de línea ni repetidos</t>
        </r>
      </text>
    </comment>
    <comment ref="J101" authorId="0">
      <text>
        <r>
          <rPr>
            <sz val="10"/>
            <rFont val="Arial"/>
            <family val="2"/>
          </rPr>
          <t xml:space="preserve">Antes: Estados Unidos
 Noruega
 Reino Unido
 Taiwán
 Canadá
 China
 España,
 Liechtenstein
 Grecia
 Irán
 Malasia
 Arabia Saudita
 Estonia
 Alemania
 Jordania
Motivo: Nombres de país estandarizados, sin saltos de línea ni repetidos</t>
        </r>
      </text>
    </comment>
    <comment ref="J102" authorId="0">
      <text>
        <r>
          <rPr>
            <sz val="10"/>
            <rFont val="Arial"/>
            <family val="2"/>
          </rPr>
          <t xml:space="preserve">Antes: Peru 
 Indonesia
Motivo: Nombres de país estandarizados, sin saltos de línea ni repetidos</t>
        </r>
      </text>
    </comment>
    <comment ref="J103" authorId="0">
      <text>
        <r>
          <rPr>
            <sz val="10"/>
            <rFont val="Arial"/>
            <family val="2"/>
          </rPr>
          <t xml:space="preserve">Antes: América
 Asia
 Australia
 Europa
Motivo: Nombres de país estandarizados, sin saltos de línea ni repetidos</t>
        </r>
      </text>
    </comment>
    <comment ref="J106" authorId="0">
      <text>
        <r>
          <rPr>
            <sz val="10"/>
            <rFont val="Arial"/>
            <family val="2"/>
          </rPr>
          <t xml:space="preserve">Antes: Norteamerica, Escandinavia y otros
Motivo: Nombres de país estandarizados, sin saltos de línea ni repetidos</t>
        </r>
      </text>
    </comment>
    <comment ref="J108" authorId="0">
      <text>
        <r>
          <rPr>
            <sz val="10"/>
            <rFont val="Arial"/>
            <family val="2"/>
          </rPr>
          <t xml:space="preserve">Antes: Estados Unidos
 Malasya
 Grecia
 Noruega
 Taiwan
 Canadá
 Turquía
 Israel
 Inglaterra
 Japon
 Sultan
 Australia
 Suecia
 China
Motivo: Nombres de país estandarizados, sin saltos de línea ni repetidos</t>
        </r>
      </text>
    </comment>
    <comment ref="J109" authorId="0">
      <text>
        <r>
          <rPr>
            <sz val="10"/>
            <rFont val="Arial"/>
            <family val="2"/>
          </rPr>
          <t xml:space="preserve">Antes: Inglaterra
 Alemania
 Francia
 Suecia
 Dinamarca
 Austria
 España
 Italia
 Finlandia
 Grecia
 Normandía
 Portugal
 Republica Checa
 Belgica
 Eslovaquia
 Hungría
 Islandia
 Luxemburgo
 Polonia
 Lituania
 Noruega
 Eslovenia
 Estonia
 Malta
 Latvia
 Bulgaria
 Turquia
 Rumania
 Cyprus
 Suiza
 Israel
 Islandia
 Croacia
Motivo: Nombres de país estandarizados, sin saltos de línea ni repetidos</t>
        </r>
      </text>
    </comment>
    <comment ref="J110" authorId="0">
      <text>
        <r>
          <rPr>
            <sz val="10"/>
            <rFont val="Arial"/>
            <family val="2"/>
          </rPr>
          <t xml:space="preserve">Antes: Inglaterra
 Estados Unidos de América
 Rumania
 Alemania
 Canadá
 Noruega
 Suiza
 Grecia
Motivo: Nombres de país estandarizados, sin saltos de línea ni repetidos</t>
        </r>
      </text>
    </comment>
    <comment ref="J111" authorId="0">
      <text>
        <r>
          <rPr>
            <sz val="10"/>
            <rFont val="Arial"/>
            <family val="2"/>
          </rPr>
          <t xml:space="preserve">Antes: Canadá 
 Australia
 Estados Unidos de América 
 Alemania
 Australia
 Normandia
 Suecia
 Israel
 Malasya
Motivo: Nombres de país estandarizados, sin saltos de línea ni repetidos</t>
        </r>
      </text>
    </comment>
    <comment ref="J120" authorId="0">
      <text>
        <r>
          <rPr>
            <sz val="10"/>
            <rFont val="Arial"/>
            <family val="2"/>
          </rPr>
          <t xml:space="preserve">Antes: Vietnam 
 Liberia
 Burma
 Kosovo
 Sierra Leona
 Uganda
 Palestina
 Sudan
 Azerbaiyán
 Timor Oriental
 Bosnia y Herzegovina
 República Centroafricana
 República Democrática del Congo
Motivo: Nombres de país estandarizados, sin saltos de línea ni repetidos</t>
        </r>
      </text>
    </comment>
    <comment ref="J121" authorId="0">
      <text>
        <r>
          <rPr>
            <sz val="10"/>
            <rFont val="Arial"/>
            <family val="2"/>
          </rPr>
          <t xml:space="preserve">Antes: Reino Unido
 Estados Unidos
 Canadá
Motivo: Nombres de país estandarizados, sin saltos de línea ni repetidos</t>
        </r>
      </text>
    </comment>
    <comment ref="J126" authorId="0">
      <text>
        <r>
          <rPr>
            <sz val="10"/>
            <rFont val="Arial"/>
            <family val="2"/>
          </rPr>
          <t xml:space="preserve">Antes: Cacao
Motivo: Decía «Cacao»; el estudio es de Sudáfrica (ver título)</t>
        </r>
      </text>
    </comment>
    <comment ref="J128" authorId="0">
      <text>
        <r>
          <rPr>
            <sz val="10"/>
            <rFont val="Arial"/>
            <family val="2"/>
          </rPr>
          <t xml:space="preserve">Antes: Sudafrica
Motivo: Nombres de país estandarizados, sin saltos de línea ni repetidos</t>
        </r>
      </text>
    </comment>
    <comment ref="J131" authorId="0">
      <text>
        <r>
          <rPr>
            <sz val="10"/>
            <rFont val="Arial"/>
            <family val="2"/>
          </rPr>
          <t xml:space="preserve">Antes: Gran Bretaña
Motivo: Nombres de país estandarizados, sin saltos de línea ni repetidos</t>
        </r>
      </text>
    </comment>
    <comment ref="J132" authorId="0">
      <text>
        <r>
          <rPr>
            <sz val="10"/>
            <rFont val="Arial"/>
            <family val="2"/>
          </rPr>
          <t xml:space="preserve">Antes: Peru
Motivo: Nombres de país estandarizados, sin saltos de línea ni repetidos</t>
        </r>
      </text>
    </comment>
    <comment ref="J133" authorId="0">
      <text>
        <r>
          <rPr>
            <sz val="10"/>
            <rFont val="Arial"/>
            <family val="2"/>
          </rPr>
          <t xml:space="preserve">Antes: Peru
Motivo: Nombres de país estandarizados, sin saltos de línea ni repetidos</t>
        </r>
      </text>
    </comment>
    <comment ref="J134" authorId="0">
      <text>
        <r>
          <rPr>
            <sz val="10"/>
            <rFont val="Arial"/>
            <family val="2"/>
          </rPr>
          <t xml:space="preserve">Antes: Peru
Motivo: Nombres de país estandarizados, sin saltos de línea ni repetidos</t>
        </r>
      </text>
    </comment>
    <comment ref="J135" authorId="0">
      <text>
        <r>
          <rPr>
            <sz val="10"/>
            <rFont val="Arial"/>
            <family val="2"/>
          </rPr>
          <t xml:space="preserve">Antes: Peru
Motivo: Nombres de país estandarizados, sin saltos de línea ni repetidos</t>
        </r>
      </text>
    </comment>
    <comment ref="J136" authorId="0">
      <text>
        <r>
          <rPr>
            <sz val="10"/>
            <rFont val="Arial"/>
            <family val="2"/>
          </rPr>
          <t xml:space="preserve">Antes: Peru
Motivo: Nombres de país estandarizados, sin saltos de línea ni repetidos</t>
        </r>
      </text>
    </comment>
    <comment ref="J137" authorId="0">
      <text>
        <r>
          <rPr>
            <sz val="10"/>
            <rFont val="Arial"/>
            <family val="2"/>
          </rPr>
          <t xml:space="preserve">Antes: Peru
Motivo: Nombres de país estandarizados, sin saltos de línea ni repetidos</t>
        </r>
      </text>
    </comment>
    <comment ref="O53" authorId="0">
      <text>
        <r>
          <rPr>
            <sz val="10"/>
            <rFont val="Arial"/>
            <family val="2"/>
          </rPr>
          <t xml:space="preserve">Antes: (vacío)
Motivo: Estudio sin intervención: se completa igual que las demás filas</t>
        </r>
      </text>
    </comment>
    <comment ref="O54" authorId="0">
      <text>
        <r>
          <rPr>
            <sz val="10"/>
            <rFont val="Arial"/>
            <family val="2"/>
          </rPr>
          <t xml:space="preserve">Antes: (vacío)
Motivo: Estudio sin intervención: se completa igual que las demás filas</t>
        </r>
      </text>
    </comment>
    <comment ref="P53" authorId="0">
      <text>
        <r>
          <rPr>
            <sz val="10"/>
            <rFont val="Arial"/>
            <family val="2"/>
          </rPr>
          <t xml:space="preserve">Antes: (vacío)
Motivo: Estudio sin intervención: se completa igual que las demás filas</t>
        </r>
      </text>
    </comment>
    <comment ref="P54" authorId="0">
      <text>
        <r>
          <rPr>
            <sz val="10"/>
            <rFont val="Arial"/>
            <family val="2"/>
          </rPr>
          <t xml:space="preserve">Antes: (vacío)
Motivo: Estudio sin intervención: se completa igual que las demás filas</t>
        </r>
      </text>
    </comment>
    <comment ref="Q53" authorId="0">
      <text>
        <r>
          <rPr>
            <sz val="10"/>
            <rFont val="Arial"/>
            <family val="2"/>
          </rPr>
          <t xml:space="preserve">Antes: (vacío)
Motivo: Estudio sin intervención: se completa igual que las demás filas</t>
        </r>
      </text>
    </comment>
    <comment ref="Q54" authorId="0">
      <text>
        <r>
          <rPr>
            <sz val="10"/>
            <rFont val="Arial"/>
            <family val="2"/>
          </rPr>
          <t xml:space="preserve">Antes: (vacío)
Motivo: Estudio sin intervención: se completa igual que las demás filas</t>
        </r>
      </text>
    </comment>
    <comment ref="R53" authorId="0">
      <text>
        <r>
          <rPr>
            <sz val="10"/>
            <rFont val="Arial"/>
            <family val="2"/>
          </rPr>
          <t xml:space="preserve">Antes: (vacío)
Motivo: Estudio sin intervención: se completa igual que las demás filas</t>
        </r>
      </text>
    </comment>
    <comment ref="R54" authorId="0">
      <text>
        <r>
          <rPr>
            <sz val="10"/>
            <rFont val="Arial"/>
            <family val="2"/>
          </rPr>
          <t xml:space="preserve">Antes: (vacío)
Motivo: Estudio sin intervención: se completa igual que las demás filas</t>
        </r>
      </text>
    </comment>
    <comment ref="R112" authorId="0">
      <text>
        <r>
          <rPr>
            <sz val="10"/>
            <rFont val="Arial"/>
            <family val="2"/>
          </rPr>
          <t xml:space="preserve">Antes: Completa
Motivo: Mismo valor escrito igual en toda la columna</t>
        </r>
      </text>
    </comment>
    <comment ref="U75" authorId="0">
      <text>
        <r>
          <rPr>
            <sz val="10"/>
            <rFont val="Arial"/>
            <family val="2"/>
          </rPr>
          <t xml:space="preserve">Antes: (texto con «CopyRetryClaude can make mistakes. Please double-check responses.» al final)
Motivo: Se borró texto pegado por error desde un chat de IA</t>
        </r>
      </text>
    </comment>
  </commentList>
</comments>
</file>

<file path=xl/sharedStrings.xml><?xml version="1.0" encoding="utf-8"?>
<sst xmlns="http://schemas.openxmlformats.org/spreadsheetml/2006/main" count="3877" uniqueCount="1494">
  <si>
    <t xml:space="preserve">Matriz de evidencias nacionales e internacionales – versión revisada</t>
  </si>
  <si>
    <t xml:space="preserve">Observatorio Nacional de la Violencia contra las Mujeres y los Integrantes del Grupo Familiar · MIMP</t>
  </si>
  <si>
    <t xml:space="preserve">Qué cambió</t>
  </si>
  <si>
    <t xml:space="preserve">Correcciones de forma</t>
  </si>
  <si>
    <t xml:space="preserve">Se aplicaron 234 correcciones que no cambian el contenido: países escritos igual, autores en una línea, códigos de nivel con el mismo formato, texto pegado por error y celdas vacías que debían decir «No corresponde». Cada celda corregida está en amarillo y tiene un comentario con el valor anterior. La lista completa está en la hoja «Cambios realizados».</t>
  </si>
  <si>
    <t xml:space="preserve">Denominaciones</t>
  </si>
  <si>
    <t xml:space="preserve">La temática «Género» ahora se llama «Igualdad de oportunidades» (Ley N.° 32535, que reemplazó a la Ley N.° 28983) y «Violencia de género» se llama «Violencia contra las mujeres e integrantes del grupo familiar» (Ley N.° 30364). La columna «Dimensiones (original)» conserva tus nombres.</t>
  </si>
  <si>
    <t xml:space="preserve">Lo que no cambié</t>
  </si>
  <si>
    <t xml:space="preserve">Nada del contenido de los estudios. Los errores de contenido (datos copiados de otra fila, celdas vacías, duplicados) están marcados y listados en «Por validar», para que decidas tú.</t>
  </si>
  <si>
    <t xml:space="preserve">Columnas nuevas</t>
  </si>
  <si>
    <t xml:space="preserve">Estado del registro, Dimensión propuesta, Ámbito y Observaciones de revisión (encabezado celeste) las llené yo. Población (categoría), Hallazgo principal y Efecto (encabezado amarillo) están vacías para que las completes.</t>
  </si>
  <si>
    <t xml:space="preserve">Colores</t>
  </si>
  <si>
    <t xml:space="preserve">Amarillo</t>
  </si>
  <si>
    <t xml:space="preserve">Celda corregida. Pasa el cursor para ver el valor anterior.</t>
  </si>
  <si>
    <t xml:space="preserve">Celeste</t>
  </si>
  <si>
    <t xml:space="preserve">Valor propuesto en la revisión: dimensión y ámbito. Revísalo y corrígelo si no estás de acuerdo.</t>
  </si>
  <si>
    <t xml:space="preserve">Durazno</t>
  </si>
  <si>
    <t xml:space="preserve">Columna nueva para completar. Tiene lista desplegable (Efecto y Población).</t>
  </si>
  <si>
    <t xml:space="preserve">Rosado</t>
  </si>
  <si>
    <t xml:space="preserve">Registro duplicado. La fila está en gris; elimínala cuando confirmes.</t>
  </si>
  <si>
    <t xml:space="preserve">Cómo llenar las columnas nuevas</t>
  </si>
  <si>
    <t xml:space="preserve">Hallazgo principal</t>
  </si>
  <si>
    <t xml:space="preserve">Una sola oración con el resultado más importante, con la cifra si la hay. Es lo que aparecerá en el mapa al pasar el cursor.</t>
  </si>
  <si>
    <t xml:space="preserve">Efecto</t>
  </si>
  <si>
    <t xml:space="preserve">Solo para estudios que evalúan una intervención (niveles A y B): Positivo, Nulo, Mixto o Negativo. Para el resto: «No aplica (no evalúa efecto)».</t>
  </si>
  <si>
    <t xml:space="preserve">Población (categoría)</t>
  </si>
  <si>
    <t xml:space="preserve">El grupo principal del estudio, elegido de la lista. Sirve para filtrar el mapa por población.</t>
  </si>
  <si>
    <t xml:space="preserve">Ejemplo de una fila completa (n.° 134)</t>
  </si>
  <si>
    <t xml:space="preserve">Título</t>
  </si>
  <si>
    <t xml:space="preserve">Hablemos entre Patas: A Randomized-Controlled Trial of a WhatsApp Intervention to Reduce Intimate Partner Violence</t>
  </si>
  <si>
    <t xml:space="preserve">Parejas y familias</t>
  </si>
  <si>
    <t xml:space="preserve">La violencia sexual de pareja bajó de 22.8% a 18% de las mujeres tras la intervención por WhatsApp (−4.8 puntos porcentuales).</t>
  </si>
  <si>
    <t xml:space="preserve">Positivo</t>
  </si>
  <si>
    <t xml:space="preserve">Avance</t>
  </si>
  <si>
    <t xml:space="preserve">Registros en la matriz</t>
  </si>
  <si>
    <t xml:space="preserve">Registros válidos (sin duplicados)</t>
  </si>
  <si>
    <t xml:space="preserve">Duplicados por eliminar</t>
  </si>
  <si>
    <t xml:space="preserve">Con hallazgo principal</t>
  </si>
  <si>
    <t xml:space="preserve">Con efecto</t>
  </si>
  <si>
    <t xml:space="preserve">Con población (categoría)</t>
  </si>
  <si>
    <t xml:space="preserve">Pendientes en «Por validar»</t>
  </si>
  <si>
    <t xml:space="preserve">N°</t>
  </si>
  <si>
    <t xml:space="preserve">Estado del registro</t>
  </si>
  <si>
    <t xml:space="preserve">Temática</t>
  </si>
  <si>
    <t xml:space="preserve">Dimensiones (original)</t>
  </si>
  <si>
    <t xml:space="preserve">Dimensión propuesta</t>
  </si>
  <si>
    <t xml:space="preserve">Nivel de evidencia</t>
  </si>
  <si>
    <t xml:space="preserve">Autor</t>
  </si>
  <si>
    <t xml:space="preserve">Año</t>
  </si>
  <si>
    <t xml:space="preserve">País</t>
  </si>
  <si>
    <t xml:space="preserve">Ámbito</t>
  </si>
  <si>
    <t xml:space="preserve">Población objetivo de la evidencia encontrada</t>
  </si>
  <si>
    <t xml:space="preserve">Propósito del estudio</t>
  </si>
  <si>
    <t xml:space="preserve">Tipo de intervención</t>
  </si>
  <si>
    <t xml:space="preserve">Detalles de la intervención</t>
  </si>
  <si>
    <t xml:space="preserve">Diseño de aleatorización</t>
  </si>
  <si>
    <t xml:space="preserve">Estado de la evaluación de impacto</t>
  </si>
  <si>
    <t xml:space="preserve">Variable(s) Y</t>
  </si>
  <si>
    <t xml:space="preserve">Variable(s) X</t>
  </si>
  <si>
    <t xml:space="preserve">Resultados</t>
  </si>
  <si>
    <t xml:space="preserve">Hallazgo principal (1 línea)</t>
  </si>
  <si>
    <t xml:space="preserve">Vínculo</t>
  </si>
  <si>
    <t xml:space="preserve">Lugar de publicación</t>
  </si>
  <si>
    <t xml:space="preserve">Observaciones de revisión</t>
  </si>
  <si>
    <t xml:space="preserve">Válido</t>
  </si>
  <si>
    <t xml:space="preserve">Igualdad de oportunidades</t>
  </si>
  <si>
    <t xml:space="preserve">Educación</t>
  </si>
  <si>
    <t xml:space="preserve">A.2 Revisión sistemática</t>
  </si>
  <si>
    <t xml:space="preserve">Género y educación en Perú</t>
  </si>
  <si>
    <t xml:space="preserve">Muñoz, Fanni</t>
  </si>
  <si>
    <t xml:space="preserve">Perú</t>
  </si>
  <si>
    <t xml:space="preserve">Nacional</t>
  </si>
  <si>
    <t xml:space="preserve">La población objetivo de este estudio es la comunidad educativa de Perú, incluyendo:
Estudiantes de todos los niveles educativos
Docentes y personal educativo
Autoridades educativas y formuladores de políticas
Grupos tradicionalmente excluidos o marginados en el sistema educativo peruano</t>
  </si>
  <si>
    <t xml:space="preserve">El propósito de este estudio es servir como información de referencia para contribuir a la redacción del Informe de Seguimiento de la Educación en el Mundo (GEM) 2020 para América Latina y el Caribe, enfocándose en el tema "Inclusión y educación: Todos y todas sin excepción".</t>
  </si>
  <si>
    <t xml:space="preserve">No corresponde</t>
  </si>
  <si>
    <t xml:space="preserve">El sistema educativo peruano y sus resultados (acceso, permanencia, logros educativos entre niños y niñas)</t>
  </si>
  <si>
    <t xml:space="preserve">El enfoque de igualdad de género y sus componentes (políticas, currículo, materiales, formación docente, infraestructura)</t>
  </si>
  <si>
    <t xml:space="preserve">La relación entre el sistema educativo peruano y la implementación del enfoque de igualdad de género.
Esta relación se explora a través de varios aspectos:
La incorporación del enfoque de igualdad de género en las políticas educativas, el currículo nacional y los materiales educativos.
Los avances y desafíos en la igualdad de acceso, permanencia y logros educativos entre niños y niñas.
La persistencia de estereotipos de género en los procesos educativos.
Los esfuerzos y obstáculos para transversalizar el enfoque de género en la educación, incluyendo la formación docente y la infraestructura escolar.
El contexto sociopolítico que influye en la implementación del enfoque de género en la educación, incluyendo la oposición de sectores conservadores.</t>
  </si>
  <si>
    <t xml:space="preserve">https://unesdoc.unesco.org/ark:/48223/pf0000374775</t>
  </si>
  <si>
    <t xml:space="preserve">Organización de las Naciones Unidas para la Educación, la Ciencia y la Cultura (UNESCO)</t>
  </si>
  <si>
    <t xml:space="preserve">A.3 Estudios experimentales</t>
  </si>
  <si>
    <t xml:space="preserve">Gender Stereotypes and Peer Recognition</t>
  </si>
  <si>
    <t xml:space="preserve">Barrón, Manuel; Basurto, Pía; Castro, Juan; Zarate, Román</t>
  </si>
  <si>
    <t xml:space="preserve">Estudiantes de 3ero, 4to y 5to de secundaria de zonas urbanas de las sedes de los colegios de Innova Schools</t>
  </si>
  <si>
    <t xml:space="preserve">Reducir los estereotipos de género sobre el desempeño femenino en trabajos relacionados con STEM, sobre las actitudes de los estudiantes de secundaria hacia las mujeres en STEM y el reconocimiento de los pares</t>
  </si>
  <si>
    <t xml:space="preserve">Prueba de Asociación Implícita (IAT) y videos modelo de mujeres trabajando  en puesto relacionados a STEM</t>
  </si>
  <si>
    <t xml:space="preserve">La intervención consta de dos componentes principales: retroalimentación del IAT y exposición a modelos a seguir. Los estudiantes del grupo de tratamiento reciben un desglose detallado de su puntuación en el Test de Asociación Implícita (IAT), incluyendo una evaluación de su nivel de sesgo (neutral, débil, moderado o fuerte) respecto a la asociación entre campos STEM y género. Posteriormente, ven un video de 6 minutos de una ingeniera (minera o pesquera) que actúa como modelo a seguir, discutiendo su carrera y experiencias. El grupo de control no recibe retroalimentación del IAT ni ve videos. Ambos grupos dedican un tiempo similar a otras tareas de la sesión, sin mostrar diferencias significativas en rendimiento o fatiga. Esta intervención busca concientizar sobre sesgos implícitos y proporcionar ejemplos positivos de mujeres en STEM para influir en las actitudes y percepciones de los estudiantes.</t>
  </si>
  <si>
    <t xml:space="preserve">Los estudiantes (9.° a 11.° grado) son asignados aleatoriamente a 2 grupos: un grupo de control y un grupo de tratamiento, con diferentes grados de saturación a nivel de aula: 20%, 50% y 80%.
El grupo de tratamiento está expuesto a la combinación de dos tratamientos:
1. Los estudiantes reciben retroalimentación sobre una Prueba de Asociación Implícita (IAT) realizada previamente, que revela información sobre su grado de sesgo de género (alto, medio, bajo o ningún grado de sesgo) en la elección de trayectorias profesionales.
2. Los estudiantes miran videos sobre mujeres exitosas en carreras STEM.</t>
  </si>
  <si>
    <t xml:space="preserve">Completo</t>
  </si>
  <si>
    <t xml:space="preserve">Efectos en nominaciones y rendimiento académico en matemáticas y lenguaje (medidos en puntos porcentuales)</t>
  </si>
  <si>
    <t xml:space="preserve">Intervención con IAT y videos de modelos femeninos en STEM</t>
  </si>
  <si>
    <t xml:space="preserve">Efectos en Nominaciones para Matemáticas:
Efecto directo del tratamiento (sin efectos fijos de aula):
+5.0 puntos porcentuales (p &lt; 0.01)
En aulas de baja saturación:
+7.8 puntos porcentuales (p &lt; 0.05)
Efectos spillover en estudiantes control en aulas de alta saturación:
+5.4 puntos porcentuales (p &lt; 0.05)
En aulas de saturación media: +1.4 puntos porcentuales (no significativo)
Efectos en Nominaciones para Lenguaje:
No se encontraron efectos significativos ni directos ni spillover
Efectos en Rendimiento:
Matemáticas: No se encontraron efectos significativos
Lenguaje: Pequeño efecto positivo de +1.4 puntos porcentuales (p &lt; 0.1) en estudiantes tratados
Los hallazgos más importantes son:
El tratamiento fue más efectivo en aulas de baja saturación
Hubo importantes efectos spillover en aulas de alta saturación
No hubo efectos negativos en el rendimiento al aumentar las nominaciones femeninas
Los efectos se concentraron en matemáticas, no en lenguaje</t>
  </si>
  <si>
    <t xml:space="preserve">https://www.razarate.com/_files/ugd/c322b8_e7e289366c6041ae84e077fdc856f8d0.pdf</t>
  </si>
  <si>
    <t xml:space="preserve">CENTRO DE INVESTIGACIÓN DE LA UNIVERSIDAD DEL PACÍFICO (CIUP)</t>
  </si>
  <si>
    <t xml:space="preserve">Empleo</t>
  </si>
  <si>
    <t xml:space="preserve">Empleo e ingresos</t>
  </si>
  <si>
    <t xml:space="preserve">DO GENDER-NEUTRAL JOB ADS PROMOTE DIVERSITY? EXPERIMENTAL EVIDENCE FROM LATIN AMERICA’S TECH SECTOR</t>
  </si>
  <si>
    <t xml:space="preserve">Del Carpio, Lucia; Fujiwara, Thomas</t>
  </si>
  <si>
    <t xml:space="preserve">El propósito principal de este estudio es evaluar el impacto del lenguaje neutral en cuanto al género en anuncios de trabajo sobre la composición de género de los solicitantes de empleo, específicamente en el contexto del sector tecnológico en Chile, Colombia, Perú, México y Ecuador</t>
  </si>
  <si>
    <t xml:space="preserve">Get on Board: Modificación aleatoria del lenguaje en anuncios de trabajo en línea.
Laboratoria: Encuesta experimental con manipulación del lenguaje en anuncios de trabajo ficticios.</t>
  </si>
  <si>
    <t xml:space="preserve">Experimento 1 (Get on Board):
Intervención: Edición aleatoria de anuncios de trabajo en línea
Muestra: 2,535 anuncios en una plataforma de empleo tecnológico
Tratamiento: Lenguaje neutral en cuanto al género en anuncios seleccionados aleatoriamente
Control: Anuncios sin modificar ("business as usual")
Medición: Número y proporción de mujeres solicitantes, calidad de los solicitantes
Experimento 2 (Laboratoria):
Intervención: Encuesta con anuncios de trabajo ficticios
Muestra: Graduadas de bootcamps de programación para mujeres
Tratamiento: Anuncios con lenguaje neutral en cuanto al género
Control: Anuncios con lenguaje "masculino genérico"
Variables adicionales: Mención de trabajo remoto y declaración de diversidad
Medición: Propensión a aplicar, percepciones sobre el puesto y la empresa</t>
  </si>
  <si>
    <t xml:space="preserve">Experimento 1 (Get on Board):
Tratamiento (T):
Anuncios de trabajo editados para usar lenguaje neutral en cuanto al género
Edición realizada por el personal de Get on Board siguiendo un protocolo basado en recomendaciones gubernamentales
Principales cambios: uso de pronombres relativos neutros, verbos imperativos, sustantivos sin género asignado, o duplicación de palabras en femenino y masculino (ej. "programadora/o")
Control (C):
Anuncios de trabajo sin modificar ("business as usual")
Procesados normalmente por la plataforma sin ediciones adicionales
Experimento 2 (Laboratoria):
Tratamiento (T):
Anuncios ficticios con lenguaje neutral en cuanto al género
Variaciones adicionales: mención de trabajo remoto y declaración de diversidad
Control (C):
Anuncios ficticios con lenguaje "masculino genérico"
Mismas variaciones adicionales que en el tratamiento</t>
  </si>
  <si>
    <t xml:space="preserve">Proporción de mujeres solicitantes
Probabilidad de aplicación por parte de mujeres
Percepción de idoneidad para el puesto
Percepción de cultura empresarial inclusiva
Probabilidad percibida de contratación</t>
  </si>
  <si>
    <t xml:space="preserve">Intervención: Uso de lenguaje neutral de género en anuncios de trabajo</t>
  </si>
  <si>
    <t xml:space="preserve">Efectos generales:
En promedio, el lenguaje neutral en cuanto al género no tuvo efectos sustanciales en un amplio rango de posiciones del sector tecnológico.
Sin embargo, se observaron efectos significativos dependiendo de las características del trabajo.
Efectos específicos en el experimento de Get on Board:
Se encontró un aumento en la proporción de mujeres solicitantes en campos donde la participación femenina base era mayor al 38% (como diseño y marketing digital).
El efecto fue más pronunciado para posiciones no remotas, con un aumento del 10% en la proporción de mujeres solicitantes.
No se observaron efectos en campos con muy baja representación femenina (menos del 7%), como programación y desarrollo móvil.
Efectos en el experimento de Laboratoria:
Las mujeres reportaron mayor probabilidad de aplicar a trabajos con anuncios que usaban lenguaje neutral en cuanto al género.
Aumentó la percepción de idoneidad para el puesto y la probabilidad percibida de ser contratadas.
Mejoró la percepción sobre la cultura inclusiva de la empresa, el equilibrio trabajo-vida y la proporción de mujeres empleadas.
Los efectos del lenguaje neutral fueron sustancialmente mayores que los de las declaraciones explícitas de diversidad.
Los efectos fueron comparables o mayores que los de mencionar que el trabajo era remoto (excepto en la probabilidad de aplicar, donde el trabajo remoto era más valorado).
Efectos consistentes en ambos experimentos:
Los efectos fueron más fuertes para posiciones no remotas.</t>
  </si>
  <si>
    <t xml:space="preserve">https://www.nber.org/papers/w31314</t>
  </si>
  <si>
    <t xml:space="preserve">National Bureau of Economic Research (NBER)</t>
  </si>
  <si>
    <t xml:space="preserve">Celda vacía.</t>
  </si>
  <si>
    <t xml:space="preserve">Desmontando percepciones y estereotipos de género en carreras de ingeniería entre adolescentes de secundaria: Evidencia experimental para el caso peruano</t>
  </si>
  <si>
    <t xml:space="preserve">Agurto, Marco; Serra, Danila; Sudipta,Sarangi</t>
  </si>
  <si>
    <t xml:space="preserve">Adolescentes de secundaria de colegios del norte del país</t>
  </si>
  <si>
    <t xml:space="preserve">Evaluar el impacto de intervenciones diseñadas para desmontar percepciones y estereotipos de género en carreras de Ingeniería entre adolescentes de secundaria en Perú</t>
  </si>
  <si>
    <t xml:space="preserve">Modelos de rol y videos educativos</t>
  </si>
  <si>
    <t xml:space="preserve">Intervención de información y representación, combinando:
Exposición a modelos de rol femeninos en ingeniería a través de redes sociales (Instagram)
Sensibilización de docentes mediante videos educativos sobre igualdad de género en ingeniería
Esta intervención utiliza estrategias de comunicación digital y audiovisual para:
Proporcionar ejemplos visibles de mujeres en ingeniería
Desafiar estereotipos de género en campos STEM</t>
  </si>
  <si>
    <t xml:space="preserve">Tratamiento 1 (T1):
Estudiantes invitadas a seguir una cuenta de Instagram con "role models"
Cuenta administrada por 8 estudiantes mujeres de ingeniería
Contenido: videos cortos y posts sobre experiencias universitarias y capacidades de las mujeres en ingeniería
Tratamiento 2 (T2):
Incluye todo lo de T1
Adicional: videos enviados a tutores, elaborados por docentes de ingeniería
Contenido de videos para tutores: igualdad de capacidades, importancia de creatividad y esfuerzo, rol de tutores en inspirar a estudiantes mujeres
Grupo de Control (C):
No recibieron ninguna intervención
Sin acceso a la cuenta de Instagram ni a los videos para tutores</t>
  </si>
  <si>
    <t xml:space="preserve">Intervención para promover la ingeniería entre estudiantes mujeres</t>
  </si>
  <si>
    <t xml:space="preserve">Preferencias y apoyo recibido, diferenciados por nivel de rendimiento matemático</t>
  </si>
  <si>
    <t xml:space="preserve">Efectos en estudiantes mujeres de alto rendimiento matemático:
Un efecto positivo, aunque no estadísticamente significativo, en las preferencias y percepciones hacia la ingeniería.
Un aumento significativo (24 puntos porcentuales) en la proporción de estudiantes que reportan que sus profesores les han sugerido estudiar ingeniería.
Las estudiantes reportan que sus madres perciben con mayor intensidad la ingeniería como una carrera adecuada para ellas.
Efectos en estudiantes con rendimiento matemático más bajo:
No se encontró un mayor apoyo de docentes y madres para un posible interés en la ingeniería.
Mecanismos sugeridos:
La intervención parece despertar un mayor interés por la carrera de ingeniería entre las estudiantes expuestas.
Las estudiantes posiblemente comparten esta información con sus tutores y madres.
Solo en el caso de las estudiantes de alto rendimiento matemático, los tutores y madres respaldan este mayor interés por carreras de ingeniería.</t>
  </si>
  <si>
    <t xml:space="preserve">https://cies.org.pe/investigacion/desmontando-percepciones-y-estereotipos-de-genero-en-carreras-stem-entre-adolescentes-de-secundaria-y-sus-padres-evidencia-experimental-para-el-contexto-peruano/</t>
  </si>
  <si>
    <t xml:space="preserve">Consorcio de investigación económica y social (CIES)</t>
  </si>
  <si>
    <t xml:space="preserve">Brechas de género</t>
  </si>
  <si>
    <t xml:space="preserve">Brechas entre mujeres y hombres</t>
  </si>
  <si>
    <t xml:space="preserve">Gender gaps in Peru overview</t>
  </si>
  <si>
    <t xml:space="preserve">Banco Mundial</t>
  </si>
  <si>
    <t xml:space="preserve">Mujeres en el mercado laboral peruano y en el contexto de la transición demográfica del país</t>
  </si>
  <si>
    <t xml:space="preserve">El propósito principal de este estudio es identificar las principales brechas de género en Perú y proponer recomendaciones de políticas para cerrarlas. Forma parte de un esfuerzo más amplio para desarrollar un Plan de Acción de Género para los Países Andinos, buscando mejorar la prosperidad compartida y reducir la pobreza</t>
  </si>
  <si>
    <t xml:space="preserve">Áreas que requieren mayor investigación y políticas públicas (aplicación de leyes, evolución de normas sociales, barreras para poblaciones vulnerables, factores de inequidad laboral)</t>
  </si>
  <si>
    <t xml:space="preserve">Situación y brechas de género en Perú (acceso a servicios, marco legal, participación laboral, violencia, normas sociales)</t>
  </si>
  <si>
    <t xml:space="preserve">Principales observaciones sobre la situación de género en Perú:
Progreso sustancial en el acceso de las mujeres a servicios de salud reproductiva y educación.
Establecimiento de un marco legal e institucional adecuado para la igualdad de género.
Altas tasas de participación femenina en la fuerza laboral para los estándares regionales.
Baja representación de mujeres en instituciones políticas.
Alta prevalencia de violencia contra las mujeres (afecta a más del 70% de mujeres con pareja).
Persistencia de normas patriarcales sobre el papel de las mujeres.
Indicadores de salud materna y sexual más pobres entre mujeres indígenas rurales.
Altas tasas de embarazo adolescente.
Sobrerrepresentación de mujeres en trabajos informales y entre los "ni-nis".
Las mujeres asumen la mayor parte del trabajo no remunerado.
Ambiente favorable para el emprendimiento femenino, pero con restricciones específicas como acceso deficiente a recursos financieros.
El texto no establece explícitamente mecanismos causales para estas observaciones, sino que señala brechas de conocimiento y áreas que requieren más investigación, como:
Desafíos en la aplicación de leyes y políticas.
Evolución de las normas sociales y su impacto en las aspiraciones de las mujeres.
Barreras específicas que enfrentan las poblaciones rurales e indígenas.
Factores que impulsan la sobrerrepresentación de mujeres en trabajos de menor calidad y entre los "ni-nis".
Obstáculos para las mujeres en actividades empresariales y posiciones de toma de decisiones en empresas.</t>
  </si>
  <si>
    <t xml:space="preserve">https://documents1.worldbank.org/curated/es/256681558607242941/pdf/Gender-Gaps-in-Peru-An-Overview.pdf</t>
  </si>
  <si>
    <t xml:space="preserve">Los estudios de género en Perú</t>
  </si>
  <si>
    <t xml:space="preserve">Ruiz Bravo, Patricia</t>
  </si>
  <si>
    <t xml:space="preserve">Mujeres peruanas y sus experiencias en relación con el género</t>
  </si>
  <si>
    <t xml:space="preserve">El propósito parece ser realizar una revisión crítica y análisis de los estudios de género en Perú, examinando su evolución, enfoques y contribuciones al entendimiento de las relaciones de género en la sociedad peruana.</t>
  </si>
  <si>
    <t xml:space="preserve">Propuestas de transformación social (nuevo enfoque feminista, reconceptualización del poder, integración de identidades)</t>
  </si>
  <si>
    <t xml:space="preserve">Prácticas y representaciones de género en Latinoamérica (roles, masculinidad, poder, participación política)</t>
  </si>
  <si>
    <t xml:space="preserve">Brechas entre prácticas y representaciones de género: Se observa un abismo entre "lo que se dice y lo que se hace" en cuanto a roles y actitudes de género.
Debate sobre masculinidad y paternidad ausente: Existen diferentes posiciones sobre la influencia del trauma de la conquista en la identidad masculina latinoamericana.
Cuestionamiento del poder: Se ha evolucionado desde ver a las mujeres como víctimas del poder patriarcal hacia un enfoque más complejo de la "microfísica del poder".
Desequilibrio en la participación política: Hay una brecha entre la mayor presencia de mujeres en el espacio social y su limitado acceso a instancias de poder.
Redefinición de la política: Se propone una nueva manera de entender la política desde una perspectiva feminista, enfocada en la participación ciudadana y la resolución de asuntos comunitarios.
Reconceptualización del poder: Se sugiere entender el poder desde el consenso y la acción colectiva, en lugar de asociarlo solo con dominación.
Dilema entre diferencia y proyecto común: Se plantea el desafío de conciliar el reconocimiento de la heterogeneidad con la necesidad de impulsar un proyecto común de liberación.
Relación entre conocimiento y práctica: Se propone repensar cómo el conocimiento académico puede informar la acción política y viceversa.
Propuesta de un nuevo enfoque: Se sugiere desarrollar un proyecto que reivindique la liberación como seres humanos, integrando múltiples identidades y reconociendo al otro.</t>
  </si>
  <si>
    <t xml:space="preserve">https://www.jstor.org/stable/pdf/j.ctv47w9dv.21.pdf?refreqid=excelsior%25%203Ab57e4516f52c37905064d3f3f1bfef36&amp;ab_segments=&amp;origin=</t>
  </si>
  <si>
    <t xml:space="preserve">JSTOR</t>
  </si>
  <si>
    <t xml:space="preserve">B.1 Regresión discontinua</t>
  </si>
  <si>
    <t xml:space="preserve">The effects of women's education on maternal health: Evidence from Peru</t>
  </si>
  <si>
    <t xml:space="preserve">Weitzman, Abigail</t>
  </si>
  <si>
    <t xml:space="preserve">Mujeres peruanas en edad reproductiva que han tenido al menos un embarazo, con énfasis en aquellas nacidas justo antes y después del umbral de edad afectado por la ley de escolaridad obligatoria de 1993.</t>
  </si>
  <si>
    <t xml:space="preserve">El propósito principal de este estudio es examinar el efecto causal de la educación de las mujeres sobre la salud materna en Perú</t>
  </si>
  <si>
    <t xml:space="preserve">Complicaciones de salud materna
Intervalos entre nacimientos
Embarazos no deseados
Uso de atención prenatal</t>
  </si>
  <si>
    <t xml:space="preserve">Nivel educativo de las mujeres</t>
  </si>
  <si>
    <t xml:space="preserve">Mecanismos:
Efectos de la Educación de las Mujeres sobre la Salud Materna
Reducción de la probabilidad de complicaciones de salud materna en el último embarazo o parto (hasta un 29% en algunos casos)
Disminución de la probabilidad de intervalos breves entre nacimientos
Reducción de la probabilidad de embarazos no deseados
Potencial disminución de abortos inseguros como consecuencia
Aumento del uso de atención sanitaria prenatal</t>
  </si>
  <si>
    <t xml:space="preserve">https://www.sciencedirect.com/science/article/abs/pii/S0277953617301430</t>
  </si>
  <si>
    <t xml:space="preserve">Social Science &amp; Medicine</t>
  </si>
  <si>
    <t xml:space="preserve">Liderazgo</t>
  </si>
  <si>
    <t xml:space="preserve">Participación y liderazgo</t>
  </si>
  <si>
    <t xml:space="preserve">Are women mayors more effective in reducing the crime rate? Sharp regression discontinuity evidence from Peru</t>
  </si>
  <si>
    <t xml:space="preserve">Arela, Ronal; Riesco, Gustavo</t>
  </si>
  <si>
    <t xml:space="preserve">Distritos peruanos entre 2015 y 2017, con énfasis en aquellos con elecciones cerradas entre candidatos masculinos y femeninos para alcalde.</t>
  </si>
  <si>
    <t xml:space="preserve">Examinar si las alcaldesas mejoraron la seguridad local en sus distritos en comparación con sus homólogos masculinos, específicamente enfocándose en los impactos sobre la tasa de delincuencia en Perú entre 2015 y 2017.</t>
  </si>
  <si>
    <t xml:space="preserve">Tasa de delincuencia en el distrito</t>
  </si>
  <si>
    <t xml:space="preserve">Género del alcalde</t>
  </si>
  <si>
    <t xml:space="preserve">La relación principal que se aborda es cómo el género del alcalde (femenino vs. masculino) afecta la tasa de delincuencia en el distrito.
Efectos:
Las alcaldesas redujeron la tasa de delincuencia en 9 casos por cada 1,000 habitantes en sus distritos, a partir del segundo año de su mandato de 4 años.
Los mecanismos sugeridos para este efecto son:
Menor relación con la corrupción.
Mayor interés en actividades relacionadas con la seguridad.</t>
  </si>
  <si>
    <t xml:space="preserve">https://dialnet.unirioja.es/servlet/articulo?codigo=8556517</t>
  </si>
  <si>
    <t xml:space="preserve">Illustro</t>
  </si>
  <si>
    <t xml:space="preserve">Salud sexual y reproductiva</t>
  </si>
  <si>
    <t xml:space="preserve">Salud</t>
  </si>
  <si>
    <t xml:space="preserve">Consequences of Teenage childbearing in Peru: is the extended-school-hour-program an effective policy instrument to prevent teenage pregnancy?</t>
  </si>
  <si>
    <t xml:space="preserve">Sánchez, Alan; Favara, Marta</t>
  </si>
  <si>
    <t xml:space="preserve">Adolescentes peruanos en edad escolar secundaria, tanto hombres como mujeres, participantes del programa Jornada Escolar Completa (JEC).</t>
  </si>
  <si>
    <t xml:space="preserve">El propósito principal de este estudio es investigar el papel de los programas escolares de día extendido en la prevención del embarazo adolescente en Perú. Específicamente, el estudio evalúa el impacto de la reforma peruana de jornada escolar extendida (Jornada Escolar Completa, JEC) en varios factores de riesgo y protección relacionados con el embarazo adolescente.</t>
  </si>
  <si>
    <t xml:space="preserve">• Rendimiento: matemáticas, comprensión lectora
• Aspectos socioemocionales: autoeficacia, autoestima
• Aspiraciones universitarias</t>
  </si>
  <si>
    <t xml:space="preserve">Participación en el programa (determinada por punto de corte)</t>
  </si>
  <si>
    <t xml:space="preserve">Efectos principales encontrados por el estudio según las dos metodologías usadas (value-added y regression discontinuity design):
Usando Value-Added (Primera metodología):
1. Efectos en Rendimiento Académico:
- Matemáticas: +0.10 desviaciones estándar (p &lt; 0.05)
- Comprensión lectora: +0.08 desviaciones estándar (p &lt; 0.10)
- Vocabulario (PPVT): no significativo
2. Efectos Socioemocionales:
- Autoestima: +0.10 desviaciones estándar (p &lt; 0.05)
- No hubo efectos significativos en: autoeficacia, orgullo, agencia y aspiraciones
Usando Regression Discontinuity Design (metodología preferida):
1. Efectos en Rendimiento Académico:
- Matemáticas: +0.13 desviaciones estándar (p &lt; 0.05)
- Comprensión lectora: +0.19 desviaciones estándar (p &lt; 0.05)
2. Efectos Socioemocionales:
- Autoeficacia: +0.09 desviaciones estándar (p &lt; 0.10)
- Autoestima: +0.12 desviaciones estándar (p &lt; 0.05)
3. Efectos en Aspiraciones:
- Aspiraciones de ir a la universidad: +7.3 puntos porcentuales (p &lt; 0.05)
Efectos Diferenciados por Género:
1. Hombres:
- Comprensión lectora: +0.30 desviaciones estándar (p &lt; 0.01)
- Conocimientos de salud sexual: +0.36 desviaciones estándar (p &lt; 0.01)
- Aspiraciones universitarias: +13.68 puntos porcentuales (p &lt; 0.05)
2. Mujeres:
- Orgullo y agencia: efectos positivos significativos (magnitud no especificada)
- Matemáticas: efectos similares a los hombres
- Autoestima y autoeficacia: efectos similares a los hombres</t>
  </si>
  <si>
    <t xml:space="preserve">https://ora.ox.ac.uk/objects/uuid:d0ebeca7-27fd-49f9-822e-7617a73e5716</t>
  </si>
  <si>
    <t xml:space="preserve">Oxford University Research Archive</t>
  </si>
  <si>
    <t xml:space="preserve">B.2 Variables instrumentales</t>
  </si>
  <si>
    <t xml:space="preserve">FERTILITY AND WOMEN’S WORK IN A DEMOGRAPHIC TRANSITION: EVIDENCE FROM PERU</t>
  </si>
  <si>
    <t xml:space="preserve">Jaramillo, Miguel</t>
  </si>
  <si>
    <t xml:space="preserve">La población objetivo son las mujeres peruanas en edad fértil y laboral, con énfasis en madres casadas y no casadas y de diferentes niveles educativos.</t>
  </si>
  <si>
    <t xml:space="preserve">El propósito de este estudio es estimar el efecto causal de la reducción en las tasas de fertilidad sobre el empleo de las mujeres en Perú</t>
  </si>
  <si>
    <t xml:space="preserve">Participación laboral femenina (medida en puntos porcentuales)</t>
  </si>
  <si>
    <t xml:space="preserve">Tener un segundo hijo</t>
  </si>
  <si>
    <t xml:space="preserve">Efectos Generales (Twins-First):
Para 1993:
Efecto de tener un segundo hijo: -2.1 puntos porcentuales (p &lt; 0.01)
Con niño ≤ 2 años: -5.6 puntos porcentuales (p &lt; 0.01)
Con niño ≤ 6 años: -2.9 puntos porcentuales (p &lt; 0.01)
Para 2007:
Efecto de tener un segundo hijo: -3.7 puntos porcentuales (p &lt; 0.01)
Con niño ≤ 2 años: -8.2 puntos porcentuales (p &lt; 0.01)
Con niño ≤ 6 años: -6.6 puntos porcentuales (p &lt; 0.01)
Efectos por Nivel Educativo (1993):
Sin educación/primaria incompleta: no significativo
Secundaria completa: -4.5 puntos porcentuales (p &lt; 0.01)
Educación universitaria: -7.5 puntos porcentuales (p &lt; 0.01)
Efectos por Nivel Educativo (2007):
Secundaria completa: -5.4 puntos porcentuales (p &lt; 0.01)
Educación no universitaria: -3.5 puntos porcentuales (p &lt; 0.05)
Educación universitaria: -4.9 puntos porcentuales (p &lt; 0.01)
Contribución a la Participación Laboral:
La disminución en fertilidad (0.36 hijos menos) contribuyó con 1.04 puntos porcentuales al aumento del empleo femenino
Esto representa el 29% del incremento total en el empleo femenino entre los censos
Comparación Temporal:
Los efectos en 2007 fueron 50% más grandes que en 1993
Los efectos son más fuertes cuando los hijos son menores de 2 años
Los efectos son sistemáticamente menores para mujeres casadas que para todas las mujeres en general</t>
  </si>
  <si>
    <t xml:space="preserve">http://perueconomics.org/wp-content/uploads/2016/06/WP-90.pdf</t>
  </si>
  <si>
    <t xml:space="preserve">Peruvian Economic Association</t>
  </si>
  <si>
    <t xml:space="preserve">El efecto de la maternidad en la oferta laboral femenina</t>
  </si>
  <si>
    <t xml:space="preserve">Chudgen, Laly</t>
  </si>
  <si>
    <t xml:space="preserve">Mujeres peruanas entre 18 y 45 años que están trabajando, incluyendo madres jefas de hogar y cónyuges, con un enfoque particular en aquellas con hijos de 0 a 6 años</t>
  </si>
  <si>
    <t xml:space="preserve">El propósito del estudio es analizar los efectos de la maternidad en la oferta laboral de las mujeres en Perú para el año 2019.</t>
  </si>
  <si>
    <t xml:space="preserve">Oferta laboral, medida en horas semanales trabajadas por las mujeres.</t>
  </si>
  <si>
    <t xml:space="preserve">Fertilidad, específicamente tener un tercer hijo, instrumentada por:
Tener dos hijos del mismo sexo (samesex)
Tener dos niñas
Tener dos niños</t>
  </si>
  <si>
    <t xml:space="preserve">Primera Etapa (Efectos en Fertilidad):
Mujeres con dos hijos del mismo sexo (samesex): +67 puntos porcentuales más probable de tener un tercer hijo (p &lt; 0.01)
Con instrumento "Dos niñas": +111.7 puntos porcentuales (p &lt; 0.01)
Con instrumento "Dos niños": -14 puntos porcentuales (p &lt; 0.01)
Segunda Etapa (Efectos en Oferta Laboral):
Usando instrumento samesex: reducción de 2.35 horas semanales trabajadas (p &lt; 0.05)
Usando instrumentos "Dos niñas, Dos niños": reducción de 2.39 horas semanales trabajadas (p &lt; 0.01)
Efectos de Variables de Control:
Edad: +1.11 horas por cada año adicional
Educación: +0.27 horas por cada año adicional de educación
En el modelo final con samesex:
Reducción de 2.03 horas semanales trabajadas por hijo adicional
Con instrumentos "Dos niños, Dos niñas": reducción de 2.0 horas semanales</t>
  </si>
  <si>
    <t xml:space="preserve">https://upc.aws.openrepository.com/handle/10757/661459</t>
  </si>
  <si>
    <t xml:space="preserve">UNIVERSIDAD PERUANA DE CIENCIAS APLICADAS (UPC)</t>
  </si>
  <si>
    <t xml:space="preserve">B.3 con data longitudinal como doble diferencia, estimaciones de panel y estudios de cohorte</t>
  </si>
  <si>
    <t xml:space="preserve">El género y las trayectorias hacia la adultez en el Perú: educación, trabajo y maternidad/paternidad</t>
  </si>
  <si>
    <t xml:space="preserve">Rojas, Vanessa; Guerrero, Gabriela; Vargas, Jimena</t>
  </si>
  <si>
    <t xml:space="preserve">Jóvenes peruanos de 13 a 20 años que crecen en situación de pobreza, tanto de zonas rurales como urbanas.</t>
  </si>
  <si>
    <t xml:space="preserve">El propósito del estudio es examinar cómo el género afecta las trayectorias educativas, laborales y de maternidad/paternidad de jóvenes que crecen en situación de pobreza en el Perú.</t>
  </si>
  <si>
    <t xml:space="preserve">Resultados educativos y laborales, específicamente:
Acceso a educación postsecundaria
Participación en programas como Beca 18
Trayectorias educativas y laborales posteriores</t>
  </si>
  <si>
    <t xml:space="preserve">Género del estudiante</t>
  </si>
  <si>
    <t xml:space="preserve">El Género como factor determinante:
Se observan diferencias principalmente en familias de bajos ingresos
No hay diferencias de género en educación primaria y secundaria
En educación postsecundaria, las familias de bajos ingresos priorizan la educación de los varones
El apoyo familiar:
En Beca 18:
55% de beneficiarios son hombres
45% son mujeres
Efectos en Trayectorias:
Educativas:
Solo 23% de jóvenes trabajan en algo relacionado con lo que estudiaron
Laborales:
Efectos diferenciados por género, especialmente en zonas rurales
Los varones son vistos como proveedores principales
Las mujeres tienden a dedicarse más a tareas domésticas</t>
  </si>
  <si>
    <t xml:space="preserve">https://hdl.handle.net/20.500.12820/365</t>
  </si>
  <si>
    <t xml:space="preserve">Niños del Milenio/Young Lives</t>
  </si>
  <si>
    <t xml:space="preserve">Brechas étnicas y de sexo en el acceso a la educación básica y superior en el Perú</t>
  </si>
  <si>
    <t xml:space="preserve">Castro, Juan; Yamada, Gustavo</t>
  </si>
  <si>
    <t xml:space="preserve">La población objetivo son los hogares peruanos representados en la ENAHO entre 2004-2008, con enfoque en jefes de hogar y cónyuges de diversos grupos étnicos y niveles educativos.</t>
  </si>
  <si>
    <t xml:space="preserve">El propósito del estudio es analizar cómo la raza, el género y la cohorte de nacimiento influyen en el progreso educativo y la probabilidad de abandono escolar en Perú durante los últimos 50 años, evaluando las brechas educativas entre diferentes grupos étnicos y de género.</t>
  </si>
  <si>
    <t xml:space="preserve">Riesgo de abandono escolar, medido en porcentajes de riesgo adicional para diferentes grupos</t>
  </si>
  <si>
    <t xml:space="preserve">Grupo étnico (amazónicos, mulatos/negros, quechuas)
Género y cohorte de edad</t>
  </si>
  <si>
    <t xml:space="preserve">Efectos:
Mayor riesgo de abandono escolar para grupos étnicos minoritarios:
Amazónicos: 38% más riesgo
Mulatos/negros: 36% más riesgo
Quechuas: 16% más riesgo
Mecanismo: Aunque no se explica explícitamente, esto podría deberse a discriminación sistémica, barreras culturales o lingüísticas, o desventajas socioeconómicas asociadas a estos grupos étnicos.
Disminución de la discriminación por género en educación a lo largo del tiempo:
Cohorte 51-60 años: 31% más riesgo para mujeres
Cohorte 41-50 años: 18% más riesgo para mujeres
Cohorte 31-40 años: 8% más riesgo para mujeres
Cohorte 25-30 años: Sin diferencia significativa
Mecanismo: El estudio no proporciona explicaciones directas, pero esto podría atribuirse a cambios en las políticas educativas, evolución de las normas sociales, o mejoras en la igualdad de oportunidades para las mujeres a lo largo del tiempo.</t>
  </si>
  <si>
    <t xml:space="preserve">https://www.researchgate.net/profile/Gustavo-Yamada/publication/267994819_Las_diferencias_etnicas_y_de_genero_en_el_acceso_a_la_educacion_basica_y_superior_en_el_Peru_Con_la_colaboracion_de/links/54b90d3a0cf28faced6268bd/Las-diferencias-etnicas-y-de-genero-en-el-acceso-a-la-educacion-basica-y-superior-en-el-Peru-Con-la-colaboracion-de.pdf</t>
  </si>
  <si>
    <t xml:space="preserve">RESEARCHGATE</t>
  </si>
  <si>
    <t xml:space="preserve">Alternative Approaches to Reduce Teenage Pregnancy in Peru</t>
  </si>
  <si>
    <t xml:space="preserve">Field, Erica,; Hurtado, Daniel; Severino, Renzo</t>
  </si>
  <si>
    <t xml:space="preserve">Escolares ayacuchanas de 11 a 19 años</t>
  </si>
  <si>
    <t xml:space="preserve">El propósito de este estudio es brindar información sobre salud reproductiva y reducir los embarazos adolescentes en estudiantes indígenas de la región de Ayacucho.</t>
  </si>
  <si>
    <t xml:space="preserve">Intervención educativa para tutores 
 Intervención de servicios móviles para estudiantes</t>
  </si>
  <si>
    <t xml:space="preserve">Intervención educativa para tutores:
Certificado de educación en salud sexual (SexEd)
Duración: 4 meses
Dirigido a: Tutores de todos los niveles de secundaria
Componentes:
• Capacitación en temas de salud sexual y prevención de violencia
• Provisión de recursos y herramientas para enseñar educación sexual
• Compromiso de impartir al menos 4 sesiones de educación sexual a estudiantes
Intervención de servicios móviles para estudiantes:
Servicio de autobús (BUS)
Frecuencia: Dos visitas durante el año escolar
Dirigido a: Estudiantes
Componentes:
• Asesoramiento profesional
• Provisión de información sobre salud sexual
• Servicios de derivación a centros de salud locales
• Promoción de conductas saludables</t>
  </si>
  <si>
    <t xml:space="preserve">Participantes:
Estudiantes de 11 a 19 años (5 niveles de secundaria)
Escuelas asignadas aleatoriamente:
• 1 grupo de control: 40 escuelas
• 2 grupos de tratamiento:
40 escuelas con formación docente y tratamiento bus
40 escuelas con tratamiento bus únicamente
Aleatorización:
Estratificada por provincia y características escolares</t>
  </si>
  <si>
    <t xml:space="preserve">En desarrollo</t>
  </si>
  <si>
    <t xml:space="preserve">Efectos esperados (tasa embarazo adolescente, uso anticonceptivos, conocimientos sobre salud sexual y reproductiva, deserción escolar)</t>
  </si>
  <si>
    <t xml:space="preserve">Enfoques de educación sexual (capacitación docente vs asesoramiento profesional)</t>
  </si>
  <si>
    <t xml:space="preserve">Los efectos esperados son:
Reducción en la tasa de embarazo adolescente en las zonas rurales de Perú intervenidas.
Cambios en las actitudes de los adolescentes hacia la sexualidad y la salud reproductiva.
Aumento en el uso de métodos anticonceptivos, especialmente condones, entre los adolescentes.
Posible retraso en la iniciación sexual de los adolescentes.
Mejora en el conocimiento sobre salud sexual y reproductiva entre los estudiantes.
Comparación de la eficacia entre dos enfoques de educación sexual:
a) Capacitación de maestros para incorporar educación sexual en la escuela.
b) Asesoramiento profesional a demanda sobre salud y sexo para estudiantes.
Posible reducción en la tasa de deserción escolar relacionada con el embarazo adolescente.
Generación de evidencia sobre estrategias efectivas para abordar la educación sexual en poblaciones rurales e indígenas.</t>
  </si>
  <si>
    <t xml:space="preserve">https://www.socialscienceregistry.org/trials/10445</t>
  </si>
  <si>
    <t xml:space="preserve">The American Economic Association</t>
  </si>
  <si>
    <t xml:space="preserve">Early life exposure to gender biases: parents' stereotypes and domain-specific performance in schools</t>
  </si>
  <si>
    <t xml:space="preserve">Martinez, Joan</t>
  </si>
  <si>
    <t xml:space="preserve">La población objetivo incluye padres de familia y estudiantes de 8,500 hogares en 70 escuelas.</t>
  </si>
  <si>
    <t xml:space="preserve">El objetivo principal de este estudio es evaluar el impacto de proporcionar información sobre sesgos de género y logros de los estudiantes a los padres</t>
  </si>
  <si>
    <t xml:space="preserve">La intervención es principalmente informativa, diseñada para crear conciencia y potencialmente modificar comportamientos parentales relacionados con el género y la educación de sus hijos.</t>
  </si>
  <si>
    <t xml:space="preserve">Proporcionar información personalizada a los padres sobre:
Sesgos de género existentes
Logros académicos de sus hijos
Esta información se adapta según la intensidad de los sesgos de género que muestran los padres. El objetivo es influir en las actitudes y decisiones de los padres respecto a la educación de sus hijos, buscando reducir las disparidades de género en el apoyo educativo y las oportunidades futuras.</t>
  </si>
  <si>
    <t xml:space="preserve">Aleatorización en dos niveles:
Escuelas
Hogares dentro de las escuelas
Tratamiento (T):
Padres reciben información personalizada sobre sesgos de género y logros académicos de sus hijos.
Control (C):
No reciben esta información personalizada.</t>
  </si>
  <si>
    <t xml:space="preserve">Completo, pero sin publicación de resultados</t>
  </si>
  <si>
    <t xml:space="preserve">Efectos a corto y largo plazo (actitudes parentales, resultados académicos, asignación de recursos)</t>
  </si>
  <si>
    <t xml:space="preserve">Tratamiento de información sobre brechas de rendimiento por género</t>
  </si>
  <si>
    <t xml:space="preserve">Los efectos esperados son:
A corto plazo:
Cambios en las actitudes explícitas de género de los padres
Cambios en las actitudes implícitas de género de los padres
Modificaciones en la asignación de tiempo intrafamiliar para los hijos
A largo plazo:
Mejora en los puntajes de las pruebas (específicos por dominio)
Aumento en las tasas de graduación
Incremento en las solicitudes de ingreso a la universidad
Mejoras en la asignación de recursos intrafamiliares
Cambios en el desempeño escolar de los estudiantes en áreas específicas
Posible reducción de sesgos de género entre los padres
Potencial cambio en el comportamiento de los padres respecto a la educación de sus hijos, basado en la información recibida sobre brechas de rendimiento
Posibles efectos diferenciados según el tipo de información proporcionada (brecha de logros específicos por dominio, brecha de logros basada en ranking, o ambos)
Posibles efectos de derrame (spillover) en las escuelas, dependiendo de los niveles de saturación del tratamiento</t>
  </si>
  <si>
    <t xml:space="preserve">https://www.socialscienceregistry.org/trials/10643</t>
  </si>
  <si>
    <t xml:space="preserve">Brecha salarial</t>
  </si>
  <si>
    <t xml:space="preserve">Brechas salariales de género explicadas por la discriminación en el Perú: un análisis de panel de datos a nivel regional entre el 2015 Y 2019</t>
  </si>
  <si>
    <t xml:space="preserve">Iparraguirre, Yadiraah; Valer, Julio</t>
  </si>
  <si>
    <t xml:space="preserve">Los trabajadores peruanos durante el período 2015-2019 en edad de trabajar con un enfoque particular en las diferencias salariales entre hombres y mujeres en diferentes regiones y macroregiones del país, incluyendo áreas urbanas y rurales.</t>
  </si>
  <si>
    <t xml:space="preserve">Analizar la brecha salarial neta de género (asociada a la discriminación) en Perú, explorando cómo varía esta brecha a nivel regional y macroregional.</t>
  </si>
  <si>
    <t xml:space="preserve">Brecha salarial de género (diferencia porcentual entre salarios de hombres y mujeres)</t>
  </si>
  <si>
    <t xml:space="preserve">Área de residencia (urbana/rural) y características del mercado laboral</t>
  </si>
  <si>
    <t xml:space="preserve">Efectos principales:
Existe una brecha salarial de género a nivel nacional de 18.9% en favor de los hombres.
La brecha salarial de género es mayor en zonas rurales (40.9%) que en zonas urbanas (17.4%).
Hay variaciones en la brecha salarial entre diferentes macroregiones.
Mecanismos propuestos:
Densidad poblacional y competencia:
En zonas urbanas, hay mayor densidad poblacional y competencia, lo que genera más oportunidades laborales para las mujeres y reduce la brecha salarial.
Desarrollo de mercados:
Las zonas urbanas tienen mercados más desarrollados, lo que puede contribuir a una menor brecha salarial.
Disponibilidad de sustitutos para servicios domésticos:
En áreas urbanas, hay más sustitutos para bienes y servicios producidos en el hogar, lo que puede aumentar la participación laboral femenina.
Discriminación por preferencias (Teoría de Becker):
En mercados más competitivos (zonas urbanas), la discriminación por preferencias es menor que en mercados poco competitivos (zonas rurales).
Segmentación de mercados:
Las diferentes macroregiones presentan mercados segmentados con distintos niveles de desarrollo económico y modos de producción, lo que puede explicar las variaciones en la brecha salarial.
Estereotipos y roles de género:
La asociación de tareas domésticas con roles femeninos puede contribuir a la brecha salarial.
Discriminación estadística:
Los empleadores pueden tener percepciones sobre la productividad de las mujeres y los costos laborales potenciales de emplearlas, lo que puede influir en la brecha salarial.
Costos laborales diferenciados:
Diferencias en permisos de maternidad/paternidad y otros costos laborales asociados al género pueden contribuir a la brecha.</t>
  </si>
  <si>
    <t xml:space="preserve">https://tesis.pucp.edu.pe/repositorio/bitstream/handle/20.500.12404/21187/IPARRAGUIRRE_CIEZA_VALER_MOSCOSO_BRECHAS_SALARIALES_DE_G%c3%89NERO.pdf?sequence=1&amp;isAllowed=y</t>
  </si>
  <si>
    <t xml:space="preserve">PONTIFICIA UNIVERSIDAD CATÓLICA DEL PERÚ (PUCP)</t>
  </si>
  <si>
    <t xml:space="preserve">Diferencias de género en los determinantes del ahorro voluntario: Evidencia empírica para los hogares peruanos</t>
  </si>
  <si>
    <t xml:space="preserve">Monar, Allison</t>
  </si>
  <si>
    <t xml:space="preserve">La población objetivo son los hogares peruanos, con énfasis en las jefaturas de hogar de diversas características socioeconómicas y demográfica</t>
  </si>
  <si>
    <t xml:space="preserve">El propósito del estudio es analizar las diferencias entre las jefaturas de hogar según los determinantes del ahorro voluntario en los hogares peruanos</t>
  </si>
  <si>
    <t xml:space="preserve">Nivel de ahorro del hogar (en soles)</t>
  </si>
  <si>
    <t xml:space="preserve">Características del hogar y jefe/jefa de hogar, incluyendo:
Número de miembros dependientes
Número de miembros trabajando
Salarios
Participación en programas sociales
Acceso a seguro de salud
Recepción de remesas
Posesión de activos
Exposición a shocks adversos
Situación laboral</t>
  </si>
  <si>
    <t xml:space="preserve">Miembros dependientes:
En hogares con jefa mujer: Por cada miembro dependiente adicional, el ahorro se reduce en 3.557 soles (p &lt; 0.01)
En hogares con jefe hombre: Por cada miembro dependiente adicional, el ahorro se reduce en 4.584 soles (p &lt; 0.01)
Miembros trabajando:
En hogares con jefa mujer: Por cada miembro adicional que trabaja, el ahorro aumenta en 2.688 soles (p &lt; 0.01)
En hogares con jefe hombre: Por cada miembro adicional que trabaja, el ahorro aumenta en 2.654 soles (p &lt; 0.01)
Log salarios:
En hogares con jefa mujer: Por cada 1% de aumento en los salarios, el ahorro aumenta en 5.208 soles (p &lt; 0.01)
En hogares con jefe hombre: Por cada 1% de aumento en los salarios, el ahorro aumenta en 10.06 soles (p &lt; 0.01)
Programas sociales:
En hogares con jefa mujer: El participar en programas sociales aumenta el ahorro en 5.381 soles (p &lt; 0.01)
En hogares con jefe hombre: El participar en programas sociales aumenta el ahorro en 5.704 soles (p &lt; 0.01)
Seguro de salud:
En hogares con jefa mujer: Tener seguro de salud aumenta el ahorro en 9.786 soles (p &lt; 0.01)
En hogares con jefe hombre: Tener seguro de salud aumenta el ahorro en 6.034 soles (p &lt; 0.01)
Remesas:
En hogares con jefa mujer: Recibir remesas aumenta el ahorro en 8.381 soles (p &lt; 0.01)
En hogares con jefe hombre: Recibir remesas aumenta el ahorro en 7.093 soles (p &lt; 0.01)
Activos propios:
En hogares con jefa mujer: Tener activos propios aumenta el ahorro en 4.362 soles (p &lt; 0.01)
En hogares con jefe hombre: Tener activos propios aumenta el ahorro en 7.073 soles (p &lt; 0.01)
Shocks adversos:
En hogares con jefa mujer: Sufrir shocks adversos reduce el ahorro en 2.239 soles (p &lt; 0.01)
En hogares con jefe hombre: Sufrir shocks adversos reduce el ahorro en 2.590 soles (p &lt; 0.01)
Situación Laboral (comparado con No PEA):
Para empleadores:
Con jefa mujer: Reduce el ahorro en 37.19 soles (p &lt; 0.01)
Con jefe hombre: Reduce el ahorro en 86.12 soles (p &lt; 0.01)
Para trabajadores independientes:
Con jefa mujer: Reduce el ahorro en 37.94 soles (p &lt; 0.01)
Con jefe hombre: Reduce el ahorro en 86.78 soles (p &lt; 0.01)
Para trabajadores dependientes:
Con jefa mujer: Reduce el ahorro en 48.04 soles (p &lt; 0.01)
Con jefe hombre: Reduce el ahorro en 91.87 soles (p &lt; 0.01)</t>
  </si>
  <si>
    <t xml:space="preserve">https://tesis.pucp.edu.pe/repositorio/handle/20.500.12404/23630</t>
  </si>
  <si>
    <t xml:space="preserve">Educación y Brecha Salarial de Género en el Perú</t>
  </si>
  <si>
    <t xml:space="preserve">Ríos, Pamela</t>
  </si>
  <si>
    <t xml:space="preserve">Adultos económicamente activos sean hombres o mujeres</t>
  </si>
  <si>
    <t xml:space="preserve">El propósito del estudio es encontrar cuál es el impacto que tiene la educación en la reducción de la brecha salarial de género en Perú</t>
  </si>
  <si>
    <t xml:space="preserve">Salario (variación porcentual respecto al salario base)</t>
  </si>
  <si>
    <t xml:space="preserve">Características laborales y demográficas
Sector de trabajo (minería, manufactura, comercio)
Años de educación
Tipo de trabajador (independiente)
Ubicación (urbano/rural)
Género</t>
  </si>
  <si>
    <t xml:space="preserve">Sector Minería:
Hombres: +0.532 (p &lt; 0.01) → Por trabajar en el sector minería, el salario de los hombres aumenta en 53.2%
Mujeres: +0.340 (no significativo) → Para mujeres, trabajar en minería no tiene un efecto significativo en el salario
Sector Manufactura:
Hombres: +0.223 (p &lt; 0.05) → Trabajar en manufactura aumenta el salario de los hombres en 22.3%
Mujeres: -0.209 (p &lt; 0.05) → Trabajar en manufactura reduce el salario de las mujeres en 20.9%
Sector Comercio:
Hombres: +0.119 (p &lt; 0.10) → Trabajar en comercio aumenta el salario de los hombres en 11.9%
Mujeres: -0.233 (p &lt; 0.05) → Trabajar en comercio reduce el salario de las mujeres en 23.3%
Años de educación (2017):
Hombres: +0.079 (p &lt; 0.01) → Por cada año adicional de educación, el salario de los hombres aumenta en 7.9%
Mujeres: +0.069 (p &lt; 0.01) → Por cada año adicional de educación, el salario de las mujeres aumenta en 6.9%
Trabajador independiente:
Hombres: -0.818 (p &lt; 0.01) → Ser trabajador independiente reduce el salario de los hombres en 81.8%
Mujeres: -0.860 (p &lt; 0.01) → Ser trabajador independiente reduce el salario de las mujeres en 86%
Estrato urbano (2017):
Hombres: +0.527 (p &lt; 0.01) → Vivir en zona urbana aumenta el salario de los hombres en 52.7%
Mujeres: +0.485 (p &lt; 0.01) → Vivir en zona urbana aumenta el salario de las mujeres en 48.5%
Brecha salarial:
El diferencial salarial total entre hombres y mujeres es de 0.919 o 91.9%
Esta brecha se ha ido reduciendo en el tiempo, principalmente por el factor educativo que pasó de explicar una brecha de 1.8 en 2007 a 1.0 en 2017</t>
  </si>
  <si>
    <t xml:space="preserve">https://tesis.pucp.edu.pe/repositorio/bitstream/handle/20.500.12404/14943/RIOS_PAMELA_EDUCACION_BRECHA_SALARIAL.pdf?sequence=1&amp;isAllowed=y</t>
  </si>
  <si>
    <t xml:space="preserve">PONTIFICIA UNIVERSIDAD CATÓLICA DEL PERÚ</t>
  </si>
  <si>
    <t xml:space="preserve">Impacto de la maternidad adolescente sobre el logro cognitivo</t>
  </si>
  <si>
    <t xml:space="preserve">Noel, Walter</t>
  </si>
  <si>
    <t xml:space="preserve">Madres adolescentes que entre los 14-17 años se convirtieron en madres</t>
  </si>
  <si>
    <t xml:space="preserve">El propósito de este estudio es realizar una evaluación de impacto de la maternidad adolescente sobre el logro cognitivo, entendido como rendimiento en pruebas estandarizadas de matemáticas y compresión lectora, en adolescentes mujeres de entre 18-19 años</t>
  </si>
  <si>
    <t xml:space="preserve">Logro cognitivo medido en:
Comprensión lectora (desviaciones estándar)
Matemáticas (desviaciones estándar)</t>
  </si>
  <si>
    <t xml:space="preserve">Ser madre adolescente</t>
  </si>
  <si>
    <t xml:space="preserve">Efectos Promedio sobre el Logro Cognitivo:
Comprensión Lectora:
Sin controles: -0.648 desviaciones estándar (p &lt; 0.01)
Con emparejamiento: -0.440 desviaciones estándar (p &lt; 0.05)
Con controles completos: -0.01 desviaciones estándar (no significativo)
Matemáticas:
Sin controles: -0.607 desviaciones estándar (p &lt; 0.01)
Con emparejamiento: -0.385 desviaciones estándar (p &lt; 0.05)
Con controles completos: -0.14 desviaciones estándar (no significativo)
Efectos Heterogéneos por Ámbito:
Rural vs Urbano:
Brecha urbano-rural: -0.3 desviaciones estándar
No se encontraron diferencias significativas entre madres y no madres
Efectos por Lengua Materna:
Para madres con lengua materna diferente al español:
Comprensión lectora: -0.7 desviaciones estándar (p &lt; 0.01)
Matemáticas: -0.5 desviaciones estándar (p &lt; 0.10)
Efectos Comparativos:
El impacto encontrado (-0.5σ y -0.7σ) es considerado fuerte comparado con la literatura, donde usualmente se encuentran cambios de 0.2 desviaciones estándar.
El estudio indica que el efecto más robusto y significativo se encuentra en la población de madres con lengua materna diferente al español, mientras que los efectos generales tienden a desaparecer cuando se incluyen todos los controles</t>
  </si>
  <si>
    <t xml:space="preserve">https://tesis.pucp.edu.pe/repositorio/handle/20.500.12404/12673</t>
  </si>
  <si>
    <t xml:space="preserve">Participación política</t>
  </si>
  <si>
    <t xml:space="preserve">Efecto del sexo de las autoridades municipales sobre la inversión en dimensiones básicas del desarrollo humano a nivel distrital en Perú</t>
  </si>
  <si>
    <t xml:space="preserve">Montoya-García, Alejandra</t>
  </si>
  <si>
    <t xml:space="preserve">Las autoridades ediles (alcaldes y regidores) de los municipios distritales del Perú durante el período 2008-2014, con un enfoque particular en la comparación entre autoridades masculinas y femeninas y su impacto en el gasto municipal en salud y educación.</t>
  </si>
  <si>
    <t xml:space="preserve">Analizar en qué medida el sexo de las autoridades ediles en el Perú (alcaldesas y regidoras) afecta la proporción del gasto municipal de inversión que se dedica a los rubros funcionales de salud y educación, entendidos como rubros de gasto orientados a la promoción de desarrollo humano básico</t>
  </si>
  <si>
    <t xml:space="preserve">Patrones de gasto municipal
Porcentaje de gasto en desarrollo humano básico
Gasto per cápita en educación, salud y saneamiento</t>
  </si>
  <si>
    <t xml:space="preserve">Género de la autoridad municipal</t>
  </si>
  <si>
    <t xml:space="preserve">Efecto general nacional:
La presencia de una alcaldesa incrementa en 19.4 puntos porcentuales el porcentaje del gasto de inversión en desarrollo humano básico (salud, saneamiento y educación).
En municipios con menos recursos y menor desarrollo urbano:
El efecto aumenta a 33.4 puntos porcentuales.
En municipios con mayor dinamismo económico y desarrollo urbano:
El efecto llega a 58.3 puntos porcentuales.
Incremento de 24.2 puntos porcentuales en la proporción del gasto de inversión en educación.
Efectos en gasto per cápita:
Municipios pequeños y rurales: aumento en salud y saneamiento.
Municipios más dinámicos y urbanos: aumento en educación.
Efecto de regidoras:
Efecto positivo y significativo en la proporción del gasto de inversión en educación.</t>
  </si>
  <si>
    <t xml:space="preserve">https://tesis.pucp.edu.pe/repositorio/bitstream/handle/20.500.12404/13017/MONTOYA_GARCIA_COBIAN_ALEJANDRA_EFECTO_SEXO_AUTORIDADES.pdf?sequence=1&amp;isAllowed=y</t>
  </si>
  <si>
    <t xml:space="preserve">C.1 Estudios de factores asociados</t>
  </si>
  <si>
    <t xml:space="preserve">Associated factors to the sexual behavior in Peruvian women among 15 and 25 years old</t>
  </si>
  <si>
    <t xml:space="preserve">Arias, Walter; Rivera, Renzo</t>
  </si>
  <si>
    <t xml:space="preserve">Mujeres entre 15 y 25 años de edad</t>
  </si>
  <si>
    <t xml:space="preserve">Determinar los factores socioeconómicos asociados al comportamiento sexual de la mujer peruana de 15 y 25 años de edad</t>
  </si>
  <si>
    <t xml:space="preserve">Comportamiento sexual y reproductivo
Edad de inicio sexual
Número de parejas sexuales
Uso de anticonceptivos</t>
  </si>
  <si>
    <t xml:space="preserve">Características sociodemográficas y conductuales
Edad, educación, ubicación (urbana/rural)
Estado civil, situación laboral
Violencia, consumo de alcohol de la pareja</t>
  </si>
  <si>
    <t xml:space="preserve">Correlaciones con Edad de Inicio Sexual (16.52 años promedio):
Edad: r = +0.362 (p &lt; 0.001)
Número ideal de hijos: r = -0.038 (p &lt; 0.001)
Número de personas en hogar: r = -0.035 (p = 0.002)
Cantidad de hijos nacidos: r = -0.337 (p &lt; 0.001)
Diferencias en Número de Parejas Sexuales (1.72 promedio):
Urbana vs Rural: 1.81 vs 1.51 (t = 9.725, p &lt; 0.001)
Casada vs Conviviente: 1.46 vs 1.64 (t = -4.679, p &lt; 0.001)
Trabaja vs No trabaja: 1.78 vs 1.67 (t = -3.255, p &lt; 0.001)
Una unión vs Más de una: 1.66 vs 2.60 (t = -13.132, p &lt; 0.001)
Factores que Reducen Probabilidad de Uso de Anticonceptivos:
Educación primaria: RPa = 0.90 (IC 95%: 0.83-0.97, p = 0.005)
Más de una unión: RPa = 0.92 (IC 95%: 0.85-1.00, p = 0.040)
Víctima de violencia: RPa = 0.94 (IC 95%: 0.91-0.97, p &lt; 0.001)
Mayor edad al unirse: RPa = 0.99 (IC 95%: 0.98-1.00, p = 0.002)
Factores que Aumentan Probabilidad de Uso de Anticonceptivos:
Mujer trabaja: RPa = 1.04 (IC 95%: 1.01-1.08, p = 0.019)
Pareja no bebe alcohol: RPa = 1.35 (IC 95%: 1.16-1.56, p &lt; 0.001)
Pareja nunca se emborracha: RPa = 1.30 (IC 95%: 1.12-1.51, p &lt; 0.001)
Pareja se emborracha algunas veces: RPa = 1.33 (IC 95%: 1.16-1.54, p &lt; 0.001)</t>
  </si>
  <si>
    <t xml:space="preserve">https://www.ojs.revistainteracciones.com/index.php/rin/article/view/233</t>
  </si>
  <si>
    <t xml:space="preserve">INTERACCIONES</t>
  </si>
  <si>
    <t xml:space="preserve">The Gender Wage Gap in Peru: Drivers, Evolution, and Heterogeneities</t>
  </si>
  <si>
    <t xml:space="preserve">Vaccaro, Giannina; Basurto, Maria Pia; Beltrán, Arlette; Montoya, Matiano</t>
  </si>
  <si>
    <t xml:space="preserve">Individuos entre 18 y 65 años y excluye a quienes están desempleados, jubilados y autónomos.</t>
  </si>
  <si>
    <t xml:space="preserve">El estudio tiene como objetivo proporcionar una visión completa de la evolución de la brecha salarial de género en Perú durante el período 2007-2018 e identificar los elementos clave que explican sus patrones.</t>
  </si>
  <si>
    <t xml:space="preserve">Brecha salarial de género</t>
  </si>
  <si>
    <t xml:space="preserve">Factores socioeconómicos y demográficos
PIB per cápita regional
Niveles de violencia de género
Proporción de mujeres jefas de hogar
Sector laboral (privado/público/informal)</t>
  </si>
  <si>
    <t xml:space="preserve">Tipos de Brechas:
Brecha sin ajustar (brecha cruda): 10%
Significa simplemente que los hombres ganan en promedio 10% más que las mujeres sin considerar ningún otro factor
Es la diferencia directa entre salarios de hombres y mujeres
Brecha inexplicada: 17%
Es la brecha que persiste después de controlar por características observables como educación, experiencia, sector, etc.
Representa potencial discriminación o factores no observables
Se mantiene estable durante el período estudiado
Brecha ajustada por selección: Aumentó de 7% a 22% entre 2007-2018
Considera el hecho que no todas las mujeres participan en el mercado laboral
Corrige por el sesgo de que las mujeres que trabajan pueden tener características diferentes
Brechas por Sectores:
Sector Privado: 17%
Mayor brecha inexplicada, sugiere menos regulación
Sector Público: 9%
Menor brecha, refleja mayor regulación y transparencia
Sector Informal: 22%
La brecha más alta, indica mayor vulnerabilidad
Factores que Influyen en la Brecha Regional:
PIB per cápita: -0.117 (p &lt; 0.01)
Por cada 1% de aumento en PIB per cápita regional, la brecha se reduce en 0.117 puntos porcentuales
Violencia de género: +1.031 (p &lt; 0.01)
Regiones con más violencia de género tienen brechas salariales más grandes
Mujeres jefas de hogar: +2.547 (p &lt; 0.01)
Mayor proporción de mujeres jefas de hogar se asocia con mayores brechas salariales</t>
  </si>
  <si>
    <t xml:space="preserve">https://www.ssoar.info/ssoar/handle/document/78269#</t>
  </si>
  <si>
    <t xml:space="preserve">SOCIAL SCIENCE OPEN ACCESS REPOSITORY (SSOAR)</t>
  </si>
  <si>
    <t xml:space="preserve">C.2 Modelos de elección discreta lineal</t>
  </si>
  <si>
    <t xml:space="preserve">Determinants of food insecurity among households with children in Villa el Salvador, Lima, Peru: the role of gender and employment, a cross-sectional study</t>
  </si>
  <si>
    <t xml:space="preserve">Santos, Patrizia; Brewer, Jessica; Lopez, Miguel; Paz-Soldan, Valerie; Chaparro, Pia</t>
  </si>
  <si>
    <t xml:space="preserve">Tener al menos 18 años, estar a cargo de comprar alimentos para el hogar y vivir en un hogar con al menos un menor</t>
  </si>
  <si>
    <t xml:space="preserve">El objetivo de este estudio fue investigar la asociación entre el género del jefe de hogar, la situación laboral de los miembros del hogar y la inseguridad alimentaria en hogares con niños en un distrito de bajos ingresos de Lima, Perú.</t>
  </si>
  <si>
    <t xml:space="preserve">Inseguridad alimentaria del hogar (food insecurity), medida con la herramienta HFIAS</t>
  </si>
  <si>
    <t xml:space="preserve">Género del jefe/a del hogar (man-headed vs. woman-headed households).
Educación del jefe/a del hogar (nivel educativo alcanzado).
Empleo del jefe/a del hogar (estatus de empleo).
Estatus de empleo a nivel del hogar (porcentaje de miembros empleados en el hogar).
Edad (probablemente del jefe/a del hogar o de otro miembro relevante).
Gastos semanales en alimentos por persona (cantidad de dinero destinado a la alimentación).</t>
  </si>
  <si>
    <t xml:space="preserve">Prevalencia de Inseguridad Alimentaria:
77.2% de hogares con inseguridad alimentaria
19.3% inseguridad leve
31.1% inseguridad moderada
49.6% inseguridad severa
Solo 22.8% tenían seguridad alimentaria
Diferencias por Género del Jefe de Hogar (Modelos de Regresión):
Modelo 1: Hogares con jefatura femenina tienen 2.81 veces más probabilidad de inseguridad alimentaria (OR = 2.81, IC 95%: 1.06-7.45)
Modelo 2: Hogares con jefatura femenina tienen 2.58 veces más probabilidad de inseguridad alimentaria (OR = 2.58, IC 95%: 1.05-6.38)
Efectos de la Educación:
Sin educación secundaria vs. alguna educación superior: OR = 3.37 (IC 95%: 1.54-7.39)
Con educación secundaria vs. alguna educación superior: OR = 2.25 (IC 95%: 1.20-4.21)
Empleo:
41% de hogares con jefatura femenina tenían cero miembros con empleo formal vs. 23% en hogares con jefatura masculina
13.6% de hogares con jefatura femenina tenían más de la mitad de miembros con empleo formal vs. 30.8% en hogares con jefatura masculina
Gastos en Alimentos:
Disminuyen con mayor inseguridad alimentaria:
Hogares seguros: 43.0 soles/semana
Inseguridad leve: 37.9 soles/semana
Inseguridad moderada: 36.4 soles/semana
Inseguridad severa: 30.8 soles/semana
El estudio destaca que el género del jefe del hogar es un determinante importante de la inseguridad alimentaria, con desventajas significativas para hogares liderados por mujeres.</t>
  </si>
  <si>
    <t xml:space="preserve">https://link.springer.com/article/10.1186/s12889-022-12889-4</t>
  </si>
  <si>
    <t xml:space="preserve">Springer link</t>
  </si>
  <si>
    <t xml:space="preserve">HIV Status Communication with Sex Partners and Associated Factors Among High-Risk MSM and Transgender Women in Lima, Peru</t>
  </si>
  <si>
    <t xml:space="preserve">Konda, Kelika; Casrillo, Rostislav; Leon, Segundo; Silva-Santisteban, Alfonso; Salazar, Ximena; Klausner, Jeff; Coates, Thomas; Cáceres, Carlos</t>
  </si>
  <si>
    <t xml:space="preserve">Los participantes eran hombres biológicos al nacer, con edades comprendidas entre 18 y 45 años al inicio del estudio, que informaron al equipo de estudio de al menos un encuentro sexual con un hombre en los últimos 12 meses y una preferencia sexual por los hombres sobre las mujeres en el momento del reclutamiento, vivían o trabajaban. cerca del área de intervención, mostró voluntad de participar en el estudio y planeó permanecer en la comunidad durante todo el período de estudio de 18 meses.</t>
  </si>
  <si>
    <t xml:space="preserve">Explorar los factores asociados con la comunicación del estado de VIH entre hombres que tienen sexo con hombres (HSH) y mujeres transgénero (MT) en Lima, Perú.</t>
  </si>
  <si>
    <t xml:space="preserve">Comunicación del estado de VIH (si comunica o no comunica)</t>
  </si>
  <si>
    <t xml:space="preserve">Estado de VIH (positivo, negativo, desconocido)</t>
  </si>
  <si>
    <t xml:space="preserve">Modelo de Línea Base - Ratios de Prevalencia Ajustados (aPR: indica cuántas veces más probable es que ocurra un evento comparado con el grupo de referencia):
Para comunicación del estado de VIH:
Si la pareja comparte su estado VIH: 5.23 veces más probable que comuniquen (aPR = 5.23, IC 95%: 4.15-6.59)
Si reportan ser VIH positivo: 33% menos probable que comuniquen (aPR = 0.67, IC 95%: 0.47-0.95)
Si tienen estado VIH desconocido: 15% menos probable que comuniquen (aPR = 0.85, IC 95%: 0.76-0.95)
Modelo Longitudinal - Razones de Momios Ajustadas (aOR: indica la probabilidad relativa de un resultado dada una exposición):
Factores que aumentan la probabilidad de comunicación:
Tener educación post-secundaria: 50% más probable (aOR = 1.50, IC 95%: 1.16-1.93)
Tener pareja estable: 45% más probable (aOR = 1.45, IC 95%: 1.09-1.92)
Relación de más de 2 años: 67% más probable (aOR = 1.67, IC 95%: 1.32-2.11)
Si la pareja compartió su estado VIH: 86% más probable (aOR = 1.86, IC 95%: 1.44-2.39)
Factores que disminuyen la probabilidad de comunicación:
Ser VIH positivo al inicio: 45% menos probable (aOR = 0.55, IC 95%: 0.40-0.77)
Tener carencia frecuente de necesidades básicas: 42% menos probable (aOR = 0.58, IC 95%: 0.35-0.94)
Los resultados muestran que la comunicación del estado de VIH está principalmente influenciada por factores como la reciprocidad en la comunicación, la estabilidad y duración de la relación, el nivel educativo y la situación económica.</t>
  </si>
  <si>
    <t xml:space="preserve">https://www.ncbi.nlm.nih.gov/pmc/articles/PMC5136520/</t>
  </si>
  <si>
    <t xml:space="preserve">National Center of Biotechnology Information</t>
  </si>
  <si>
    <t xml:space="preserve">Brechas de género y generación</t>
  </si>
  <si>
    <t xml:space="preserve">Secretaría Nacional de la Juventud</t>
  </si>
  <si>
    <t xml:space="preserve">La población objetivo de este estudio son los jóvenes en Perú, con un enfoque particular en las mujeres jóvenes en situación de vulnerabilidad.</t>
  </si>
  <si>
    <t xml:space="preserve">Describir y analizar la intersección de las brechas de género y generación en aspectos como educación, salud, economía y participación política, con un enfoque en las mujeres jóvenes en Perú.</t>
  </si>
  <si>
    <t xml:space="preserve">Disparidades en educación y salarios (% que no culminó secundaria, brecha salarial)</t>
  </si>
  <si>
    <t xml:space="preserve">Género (hombre/mujer)</t>
  </si>
  <si>
    <t xml:space="preserve">Persisten brechas entre hombres y mujeres jóvenes en Perú, requiriendo intervenciones específicas del Estado.
En educación:
En áreas rurales, 62% de mujeres jóvenes entre 24-29 años no culminaron la secundaria, comparado con 16.8% en áreas urbanas.
La brecha entre hombres y mujeres en este grupo de edad es de 15.5% en áreas rurales, comparado con 4.2% en áreas urbanas.
Existen disparidades regionales: en Ica, solo 5.2% de las mujeres no terminaron la secundaria, mientras que en Cajamarca es el 49%.
En economía se registran las mayores brechas de género:
La diferencia salarial promedio mensual entre hombres y mujeres jóvenes es del 26%.
Esta brecha se triplica (63%) en la población autoidentificada como indígena.
En áreas rurales la brecha salarial es del 48%, comparado con 24% en áreas urbanas.
Cajamarca (50%) y Huancavelica (49%) tienen las mayores disparidades salariales entre géneros.
Se reconoce la necesidad de un enfoque interseccional que considere etnicidad, área de residencia y clase social para abordar estas brechas de manera efectiva.
Se menciona la importancia de implementar la Política Nacional de Igualdad de Género y la Política Nacional de la Juventud para reducir estas brechas.
En salud y educación, las brechas de acceso son reducidas, con mejoras en la cobertura de servicios como educación secundaria y seguros de salud.</t>
  </si>
  <si>
    <t xml:space="preserve">https://juventud.gob.pe/wp-content/uploads/2020/09/Gu%C3%ADa-de-brecha-de-genero.pdf</t>
  </si>
  <si>
    <t xml:space="preserve">SECRETARIA NACIONAL DE LA JUVENTUD (SENAJU)</t>
  </si>
  <si>
    <t xml:space="preserve">Unveiling barriers to women’s access to decent work in Peru</t>
  </si>
  <si>
    <t xml:space="preserve">Alcázar, Lorena; Huerta, Shirley; Távara Fernando</t>
  </si>
  <si>
    <t xml:space="preserve">La población objetivo de este estudio son las mujeres peruanas en edad de trabajar</t>
  </si>
  <si>
    <t xml:space="preserve">El propósito de este estudio es identificar las barreras económicas, legales y socioculturales que enfrentan las mujeres en Perú para acceder a un empleo decente, analizando no solo las tasas de empleo, sino también las condiciones bajo las cuales las mujeres participan en el mercado laboral.</t>
  </si>
  <si>
    <t xml:space="preserve">Probabilidad de acceso a trabajo formal/no precario para mujeres</t>
  </si>
  <si>
    <t xml:space="preserve">Responsabilidades de cuidado, medidas a través de:
Existencia de pareja (matrimonio/convivencia)
Presencia de niños menores de 5 años en el hogar
Presencia de niños mayores de 5 años en el hogar
Presencia de adultos mayores en el hogar</t>
  </si>
  <si>
    <t xml:space="preserve">Tener una pareja (por matrimonio o convivencia) reduce la probabilidad de las mujeres de tener un trabajo formal en un 2.6% y un trabajo no precario en un 12.5%.
La presencia de una persona mayor en el hogar disminuye la probabilidad de las mujeres de acceder a un trabajo decente, ya sea formal (-1.3%) o no precario (-2.8%).
La presencia de niños menores de 5 años disminuye la probabilidad de las mujeres de tener un trabajo formal (-1.2%) y un trabajo no precario (-2.2%).
La presencia de niños mayores de 5 años afecta el acceso de las mujeres al trabajo formal, pero no al trabajo no precario.
En total, las tareas de cuidado del hogar y la familia reducen la probabilidad de las mujeres de acceder a un trabajo formal en un 8.8% y a un trabajo no precario en un 17.5%.
La presencia de un potencial cuidador en el hogar tiene un impacto positivo en el acceso de las mujeres al trabajo decente.
La ruralidad está asociada positivamente con el trabajo, pero negativamente con los trabajos decentes.
Trabajar en los sectores de comercio o servicios disminuye la probabilidad de las mujeres de obtener un trabajo decente.</t>
  </si>
  <si>
    <t xml:space="preserve">https://www.grade.org.pe/en/publicaciones/unveiling-barriers-to-womens-access-to-decent-work-in-peru/</t>
  </si>
  <si>
    <t xml:space="preserve">PARTNERSHIP FOR ECONOMIC POLICY</t>
  </si>
  <si>
    <t xml:space="preserve">Labor Market Participation, Returns to Education, and Male-Female Wage Differences in Peru.</t>
  </si>
  <si>
    <t xml:space="preserve">Khandker, Shahidur</t>
  </si>
  <si>
    <t xml:space="preserve">La población objetivo del estudio son los hogares peruanos, incluyendo hombres y mujeres en edad de trabajar, niños y niñas en edad escolar, y hogares en general. El estudio utiliza datos de encuestas de hogares de Perú, lo que sugiere una muestra representativa de la población peruana en diferentes contextos socioeconómicos y geográficos.</t>
  </si>
  <si>
    <t xml:space="preserve">El estudio tiene como objetivo estimar las diferencias entre hombres y mujeres en la participación en el mercado laboral, la productividad (medida por salarios) y los retornos económicos a la educación en Perú. Además, busca identificar las características que permiten a algunas mujeres participar en el mercado laboral, determinar si los retornos privados a la educación varían por género y cómo influyen en la matriculación escolar, y evaluar en qué medida la brecha salarial entre hombres y mujeres es causada por diferencias en capital humano.</t>
  </si>
  <si>
    <t xml:space="preserve">Retornos salariales (incremento porcentual en salarios)</t>
  </si>
  <si>
    <t xml:space="preserve">Nivel educativo y tipo de escuela (primaria, secundaria, post-secundaria, pública/privada)</t>
  </si>
  <si>
    <t xml:space="preserve">Los efectos principales encontrados en el estudio son:
Retornos a la Educación por Género (Maximum Likelihood):
En Lima:
Nivel Primario:
Hombres: +4% (no significativo)
Mujeres: +7%
Nivel Secundario:
Hombres: +8% (p &lt; 0.05)
Mujeres: +13% (p &lt; 0.05)
Nivel Post-secundario:
Hombres: +8% (p &lt; 0.05)
Mujeres: +10% (p &lt; 0.05)
Efectos del Entrenamiento Vocacional:
Lima:
Mujeres: +25% en salarios
Hombres: +16% en salarios
Diferencias por Tipo de Escuela:
Escuela Pública vs Privada en Lima:
Hombres: -20% en salarios
Mujeres: -30% en salarios
Diferencias Regionales en Salarios:
Comparado con Lima:
Otras áreas urbanas: -13% para ambos géneros
Áreas rurales:
Hombres: -30%
Mujeres: -43%
Efectos del Estado Civil:
Estar casado:
Hombres: Aumenta probabilidad de participación laboral
Mujeres: Disminuye probabilidad de participación laboral
Los resultados muestran que la educación tiene retornos más altos para las mujeres que para los hombres, pero las brechas salariales persisten debido a factores no observables y discriminación en el mercado laboral.</t>
  </si>
  <si>
    <t xml:space="preserve">https://documents.worldbank.org/en/publication/documents-reports/documentdetail/221071468780894965/labor-market-participation-returns-to-education-and-male-female-wage-differences-in-peru</t>
  </si>
  <si>
    <t xml:space="preserve">Labor market outcomes of non-formal training for male and female workers in Peru</t>
  </si>
  <si>
    <t xml:space="preserve">Arriagada, Ana</t>
  </si>
  <si>
    <t xml:space="preserve">La población objetivo de este estudio son los trabajadores peruanos, tanto hombres como mujeres, con un enfoque particular en aquellos con limitado nivel educativo.</t>
  </si>
  <si>
    <t xml:space="preserve">El propósito de este estudio es medir el efecto de la capacitación no formal en el empleo y los ingresos de los trabajadores peruanos, tanto hombres como mujeres. El estudio busca entender cómo la capacitación afecta las oportunidades de empleo y los ingresos, y si estos efectos varían según el género y el sector de empleo (privado o autoempleo).</t>
  </si>
  <si>
    <t xml:space="preserve">Efectos en salarios y empleo (% incremento salarial, % probabilidad de empleo)</t>
  </si>
  <si>
    <t xml:space="preserve">Tipo de entrenamiento (basado en trabajo, post-secundario, academias)</t>
  </si>
  <si>
    <t xml:space="preserve">Efectos del Entrenamiento sobre Salarios:
Para Hombres:
Efecto general del entrenamiento: +13% en salarios
Por tipo de entrenamiento:
Entrenamiento basado en trabajo (JBP): +10%
Entrenamiento post-secundario (PST): +20%
Entrenamiento en academias: no significativo
Efectos sobre Probabilidad de Empleo para Mujeres:
Sector privado: +10%
Sector público: +2%
Autoempleo: +5%
Diferencias Salariales por Género:
Las mujeres ganan en promedio 20% menos que los hombres
El entrenamiento no reduce esta brecha
Efectos del Entrenamiento sobre Autoempleo:
No se encontraron efectos significativos ni para hombres ni mujeres
Efectos sobre Empleo Público (Hombres):
El entrenamiento aumenta la probabilidad de empleo público
No afecta la probabilidad de empleo en sector privado o autoempleo
Los resultados indican que el entrenamiento tiene efectos positivos principalmente para hombres en términos salariales y para mujeres en términos de acceso al empleo, aunque no logra reducir la brecha salarial de género.</t>
  </si>
  <si>
    <t xml:space="preserve">https://www.sciencedirect.com/science/article/abs/pii/027277579090015W</t>
  </si>
  <si>
    <t xml:space="preserve">Economics of Education Review</t>
  </si>
  <si>
    <t xml:space="preserve">El rol del capital social institucional en la continuidad de los estudios de las madres adolescentes</t>
  </si>
  <si>
    <t xml:space="preserve">Otero, Alexandra</t>
  </si>
  <si>
    <t xml:space="preserve">Madres adolescentes o gestantes por primera vez de 15 a 19 años</t>
  </si>
  <si>
    <t xml:space="preserve">Analizar el efecto del capital social institucional sobre la continuidad escolar de las madres adolescentes con y sin la inclusión de variables a nivel individual, familiar y contextual.</t>
  </si>
  <si>
    <t xml:space="preserve">Continuidad escolar de madres adolescentes</t>
  </si>
  <si>
    <t xml:space="preserve">Capital social institucional (nivel de apoyo institucional)</t>
  </si>
  <si>
    <t xml:space="preserve">Efectos del Capital Social Institucional:
Sin variables de control: +0.026 (p &lt; 0.01)
Con variables de control: +0.038 (p &lt; 0.01)
Los resultados muestran que el capital social institucional tiene un efecto positivo significativo sobre la continuidad escolar de madres adolescentes, incluso después de controlar por otras variables</t>
  </si>
  <si>
    <t xml:space="preserve">https://tesis.pucp.edu.pe/repositorio/handle/20.500.12404/27938</t>
  </si>
  <si>
    <t xml:space="preserve">C.3 Correlaciones</t>
  </si>
  <si>
    <t xml:space="preserve">Gender inequity: Older workers and the gender labor income gap in Peru</t>
  </si>
  <si>
    <t xml:space="preserve">Cruz, Maria; Gil, Mirian; Campos, Cynthia</t>
  </si>
  <si>
    <t xml:space="preserve">La población objetivo son las personas mayores en Perú que participan en el mercado laboral, según las encuestas de hogares anuales de 2004 a 2019.</t>
  </si>
  <si>
    <t xml:space="preserve">El propósito principal de este estudio es examinar la existencia de una brecha de ingresos laborales por género entre las personas mayores en Perú</t>
  </si>
  <si>
    <t xml:space="preserve">Ingresos laborales (salarios)</t>
  </si>
  <si>
    <t xml:space="preserve">Brecha de Ingresos por Género:
Las mujeres ganan aproximadamente 50% menos que los hombres
Descomposición Oaxaca-Blinder (Modelos sobre la brecha): La descomposición Oaxaca-Blinder separa la brecha salarial en:
Efecto dotación: Diferencias explicadas por características observables (educación, experiencia, etc.)
Efecto coeficientes: Diferencias no explicadas, potencial discriminación (diferente valoración de mismas características)
Interacción: Efecto simultáneo de dotaciones y coeficientes
Modelo 1:
Efecto dotación (explicado): 0.249 (44.39% de la brecha)
Efecto coeficientes (no explicado): 0.284 (55.63% de la brecha)
Interacción: 0.0281
Modelo 2:
Efecto dotación: 0.289 (51.52% de la brecha)
Efecto coeficientes: 0.239 (48.38% de la brecha)
Interacción: 0.0324
Modelo 3:
Efecto dotación: 0.399 (71.12% de la brecha)
Efecto coeficientes: 0.209 (28.81% de la brecha)
Interacción: -0.0474
Brecha de Ingresos por Cuartiles (2019):
Cuartil 1: Mujeres ganan 56% del ingreso masculino
Cuartil 2: Mujeres ganan 50.3% del ingreso masculino
Cuartil 3: Mujeres ganan 54.5% del ingreso masculino
Percentil 99: Mujeres ganan 71.6% del ingreso masculino
El Modelo 3, que incluye variables de discriminación de género, explica mejor la brecha salarial, reduciendo la parte no explicada (discriminación) a 28.81% de la brecha total.
Por ejemplo: Si una mujer y un hombre tienen el mismo nivel educativo, la diferencia en sus dotaciones sería cero, pero si al hombre le pagan más por esa misma educación, esa diferencia aparecería en el efecto coeficientes como potencial discriminación.</t>
  </si>
  <si>
    <t xml:space="preserve">https://faculty.up.edu.pe/es/publications/gender-inequity-older-workers-and-the-gender-labor-income-gap-in-</t>
  </si>
  <si>
    <t xml:space="preserve">Young women and higher education in Peru: how does gender shape their educational trajectories?</t>
  </si>
  <si>
    <t xml:space="preserve">Guerrero, Gabriela; Rojas, Vanessa</t>
  </si>
  <si>
    <t xml:space="preserve">Mujeres jóvenes en Perú, particularmente aquellas que están en transición de la educación secundaria a la educación superior.</t>
  </si>
  <si>
    <t xml:space="preserve">Analizar el papel del género en la configuración de las trayectorias educativas de las mujeres jóvenes más allá de la escuela secundaria en Perú.</t>
  </si>
  <si>
    <t xml:space="preserve">Acceso y progreso en educación superior</t>
  </si>
  <si>
    <t xml:space="preserve">Género, pobreza y etnicidad</t>
  </si>
  <si>
    <t xml:space="preserve">Efectos encontrados:
Se observa una reversión de la brecha de género en la educación superior en los últimos 20 años, con más mujeres que hombres estudiando educación superior
Persisten disparidades y brechas de género cuando se consideran indicadores de pobreza y etnicidad.
La educación superior es altamente valorada por las mujeres jóvenes, quienes persisten en sus esfuerzos por continuar estudiando más allá de la escuela secundaria.
El mayor acceso a la educación superior está dando a las mujeres jóvenes la posibilidad de construir nuevas identidades femeninas.
Sin embargo, este mayor acceso no necesariamente las está empoderando para desafiar las normas de género profundamente arraigadas en su contexto social.
Posibles mecanismos que explican estos efectos:
Valoración de la educación superior: Las mujeres jóvenes valoran altamente la educación superior, lo que las motiva a persistir en sus estudios a pesar de los obstáculos.
Normas de género: Existen normas de género que dificultan el avance educativo de las mujeres jóvenes, actuando como barreras para su progreso.
Construcción de identidad: El acceso a la educación superior está permitiendo a las mujeres jóvenes construir nuevas identidades femeninas, posiblemente diferentes a las tradicionales.
Interseccionalidad: La interacción entre género, pobreza y etnicidad parece influir en las disparidades observadas en el acceso y progreso en la educación superior.
Arraigo social de las normas de género: A pesar del mayor acceso a la educación superior, las normas de género están tan profundamente arraigadas en el contexto social que el mero acceso a la educación no es suficiente para desafiarlas.
Persistencia y resiliencia: Las mujeres jóvenes muestran persistencia y resiliencia al continuar sus esfuerzos educativos a pesar de las normas de género que obstaculizan su avance.</t>
  </si>
  <si>
    <t xml:space="preserve">https://www.grade.org.pe/publicaciones/young-women-and-higher-education-in-peru-how-does-gender-shape-their-educational-trajectories/</t>
  </si>
  <si>
    <t xml:space="preserve">GRUPO DE ANÁLISIS PARA EL DESARROLLO (GRADE)</t>
  </si>
  <si>
    <t xml:space="preserve">Gendered trajectories through education, work and parenthood in Peru</t>
  </si>
  <si>
    <t xml:space="preserve">Guerrero, Gabriela; Rojas, Vanessa; Vargas, Jimena</t>
  </si>
  <si>
    <t xml:space="preserve">Miembros de la cohorte de mayores que participaron en la investigación cualitativa longitudinal de Young Lives entre 2007 y 2014, cuando tenían entre 13 y 20 años, y los autores combinan este análisis con estadísticas descriptivas de la encuesta de la muestra más amplia de Young Lives de niños de la cohorte de mayores.</t>
  </si>
  <si>
    <t xml:space="preserve">En este artículo se analizan las transiciones y trayectorias interrelacionadas de los jóvenes a través de la educación, el trabajo y la paternidad, con especial atención a la forma en que el género afecta las trayectorias hacia la edad adulta en una muestra de jóvenes que crecen en la pobreza</t>
  </si>
  <si>
    <t xml:space="preserve">Toma de decisiones sobre educación superior</t>
  </si>
  <si>
    <t xml:space="preserve">Variable X (independiente): Factores que influyen en las decisiones educativas
Estatus socioeconómico
Género
Zona de residencia
Características del sistema educativo
Mercado laboral
Comunidad local</t>
  </si>
  <si>
    <t xml:space="preserve">La toma de decisiones de los estudiantes sobre la educación superior es deficiente, debido en parte a la falta de información sobre qué y dónde estudiar, así como sobre las características del mercado laboral.
Existen disparidades de género en el acceso a la educación superior, particularmente evidentes en el programa nacional de becas Beca 18, donde el 55% de los beneficiarios son hombres y el 45% mujeres.
A pesar del aumento general en el acceso de las mujeres a la educación superior en los últimos años, ciertos grupos de mujeres siguen estando excluidos, especialmente las niñas y madres adolescentes rurales.
Los factores que determinan las trayectorias de los jóvenes incluyen el estatus socioeconómico, el género y la zona de residencia.
Las características del sistema educativo, el mercado laboral y la comunidad local también afectan las transiciones a la edad adulta, a menudo limitando el desarrollo personal y profesional de los jóvenes.
Las iniciativas de información como el sitio web Ponte en Carrera han tenido un impacto, pero necesitan ser fortalecidas y difundidas más ampliamente.
Existe una necesidad de complementar la información en línea con sesiones de orientación presenciales en las escuelas para ayudar a los estudiantes a tomar decisiones informadas sobre su futuro educativo y profesional.</t>
  </si>
  <si>
    <t xml:space="preserve">https://www.grade.org.pe/publicaciones/gendered-trajectories-through-education-work-and-parenthood-in-peru/</t>
  </si>
  <si>
    <t xml:space="preserve">Género y educacion superior Una mirada al sistema universitario peruano desde las trayectorias estudiantiles</t>
  </si>
  <si>
    <t xml:space="preserve">Chavez, Carmela</t>
  </si>
  <si>
    <t xml:space="preserve">Población peruana con educación superior</t>
  </si>
  <si>
    <t xml:space="preserve">El propósito de este estudio es analizar la situación de mujeres y hombres en las temáticas analizadas vinculadas a las trayectorias estudiantiles</t>
  </si>
  <si>
    <t xml:space="preserve">Brechas salariales
Segregación por carreras
Participación en posgrados</t>
  </si>
  <si>
    <t xml:space="preserve">Género (mujeres/hombres)</t>
  </si>
  <si>
    <t xml:space="preserve">Brechas Salariales:
Las mujeres ganan 20% menos que los hombres
Durante la crisis sanitaria:
Salarios mujeres: -28%
Salarios hombres: -22.8%
Por campo de estudio:
Campos masculinizados (ingeniería, tecnología): Mayores ingresos
Campos feminizados (educación): Hasta 40% menos ingresos
Segregación en Carreras:
Carreras altamente masculinizadas:
Ingeniería Mecánica: 7 mujeres por cada 100 estudiantes
Tecnología: 14 mujeres por cada 100 estudiantes
Carreras altamente feminizadas:
Educación inicial: 3 hombres por cada 100 estudiantes
Enfermería: 15 hombres por cada 100 estudiantes
Efectos en Posgrado:
Maestría: 52% son mujeres
Doctorado: 48% son mujeres
En campos masculinizados: Matrícula femenina disminuye 10% entre pregrado y doctorado
En campos feminizados: Matrícula masculina aumenta hasta 15% en posgrado
Subempleo:
Mujeres: 30%
Hombres: 21%
Durante crisis sanitaria:
Mujeres: Aumentó 16.5 puntos porcentuales
Hombres: Aumentó 9 puntos porcentuales</t>
  </si>
  <si>
    <t xml:space="preserve">https://www.grade.org.pe/wp-content/uploads/CCH_Sunedu_2023.pdf</t>
  </si>
  <si>
    <t xml:space="preserve">Efecto de los roles de género del hogar en Resultados Educativos de las niñas</t>
  </si>
  <si>
    <t xml:space="preserve">Domínguez, Nicolás; Vargas, Carmen</t>
  </si>
  <si>
    <t xml:space="preserve">La población objetivo principal son las primogénitas en edad escolar (primaria y secundaria) de familias peruanas con al menos dos hijos, con un enfoque particular en sus resultados educativos y uso del tiempo. El estudio también considera la composición familiar (si tienen hermano o hermana menor) como un factor importante en el análisis.</t>
  </si>
  <si>
    <t xml:space="preserve">El presente estudio es de gran importancia, ya que es el primero en examinar el impacto del sexo en una diada de hermanos en el rendimiento académico de las niñas en el contexto peruano. Los resultados de este estudio permitirán cuantificar el papel que juegan las normas de género en la educación de las niñas, lo que es crucial para diseñar políticas educativas más efectivas y equitativas en el futuro</t>
  </si>
  <si>
    <t xml:space="preserve">Rendimiento en pruebas estandarizadas
Notas escolares
Elección de carrera STEM
Promoción académica</t>
  </si>
  <si>
    <t xml:space="preserve">Tener un hermano varón (vs. tener una hermana)</t>
  </si>
  <si>
    <t xml:space="preserve">Los efectos principales encontrados en el estudio son:
Efectos en Pruebas Estandarizadas (2° Secundaria):
Matemáticas:
Sin controles: -0.031 desviaciones estándar (p &lt; 0.01)
Con controles completos: -0.021 desviaciones estándar (p &lt; 0.01)
Comprensión Verbal:
Sin controles: -0.026 desviaciones estándar (p &lt; 0.01)
Con controles completos: -0.015 desviaciones estándar (p &lt; 0.01)
Efectos en Notas Escolares por Curso:
Matemáticas: -0.032 desviaciones estándar (p &lt; 0.01)
Comunicación: -0.017 desviaciones estándar (p &lt; 0.01)
Ciencia y Tecnología: -0.026 desviaciones estándar (p &lt; 0.01)
Religión: -0.017 desviaciones estándar (p &lt; 0.01)
Efectos en Elección de Carrera:
Probabilidad de elegir carrera STEM: -0.016 (p &lt; 0.01)
Probabilidad de elegir carrera con &lt;30% mujeres: -0.012 (p &lt; 0.01)
Efectos en Promoción Académica:
Probabilidad de aprobar 4° secundaria: -0.003 (p &lt; 0.05)
Otros años: efectos no significativos
Los resultados muestran que tener un hermano varón (versus una hermana) tiene efectos negativos principalmente en el rendimiento académico y en la elección de carreras STEM, siendo los efectos más fuertes en matemáticas y ciencias.</t>
  </si>
  <si>
    <t xml:space="preserve">https://cies.org.pe/investigacion/efecto-de-los-roles-de-genero-del-hogar-en-resultados-educativos-de-las-ninas/</t>
  </si>
  <si>
    <t xml:space="preserve">CONSORCIO DE INVESTIGACIÓN ECONÓMICA Y SOCIAL (CIES)</t>
  </si>
  <si>
    <t xml:space="preserve">Gender equality in Peru Towards a Better Sharing of Paid and Unpaid Work</t>
  </si>
  <si>
    <t xml:space="preserve">Organización para la Cooperación y el Desarrollo Económico (OCDE)</t>
  </si>
  <si>
    <t xml:space="preserve">La población objetivo incluye a mujeres y hombres trabajadores, especialmente aquellas mujeres que realizan trabajo no remunerado, así como familias y responsables de políticas públicas.</t>
  </si>
  <si>
    <t xml:space="preserve">El propósito del estudio es analizar las brechas de género en el trabajo remunerado y no remunerado en Perú, identificar las causas de estas desigualdades y proponer un marco de políticas y programas que promuevan una distribución más equitativa del trabajo, especialmente el trabajo no remunerado que recae desproporcionadamente sobre las mujeres. También se considera el impacto de la crisis del COVID-19 en estas dinámicas.</t>
  </si>
  <si>
    <t xml:space="preserve">Inactividad laboral femenina
Carga de trabajo doméstico
Violencia de género
Desigualdades educativas</t>
  </si>
  <si>
    <t xml:space="preserve">Pandemia COVID-19</t>
  </si>
  <si>
    <t xml:space="preserve">Aumento de la inactividad laboral: La pandemia exacerbó la inactividad laboral entre las mujeres, que ya era alta antes de la crisis, destacando la vulnerabilidad económica de grupos como las madres solteras.
Demanda de cuidados: El cierre de instituciones de cuidado y escuelas aumentó la carga de trabajo doméstico no remunerado, afectando la capacidad de las mujeres para regresar al empleo formal.
Violencia de género: Se observó un incremento significativo en los episodios de violencia contra mujeres, lo que requiere una respuesta coordinada y efectiva de servicios.
Desigualdades educativas: Las interrupciones educativas, especialmente en áreas de bajos ingresos, exacerbaron las brechas de aprendizaje y deserción escolar, lo que afecta el futuro laboral de las mujeres.
Necesidad de medidas de apoyo: Se enfatiza la importancia de facilitar el acceso a beneficios y programas de seguridad social para las familias de bajos ingresos, permitiendo que las mujeres regresen al mercado laboral.
Urgencia de un enfoque de género: Las políticas de emergencia deben incorporar un enfoque de género para abordar las desigualdades y asegurar una recuperación equitativa, con sistemas de recopilación de datos desagregados por género para evaluar el impacto de las medidas implementadas.</t>
  </si>
  <si>
    <t xml:space="preserve">https://www.oecd.org/en/publications/2022/06/gender-equality-in-peru_81043c5c.html#:~:text=Instead%2C%20they%20typically%20spend%20more,to%20a%20strong%20gender%20divide.</t>
  </si>
  <si>
    <t xml:space="preserve">OCDE</t>
  </si>
  <si>
    <t xml:space="preserve">The labour situation of indigeneous women in Peru: a study</t>
  </si>
  <si>
    <t xml:space="preserve">Organización Internacional del Trabajo</t>
  </si>
  <si>
    <t xml:space="preserve">Hombres y mujeres indígenas de áreas rurales parte de la Población en Edad para Trabajar</t>
  </si>
  <si>
    <t xml:space="preserve">Analizar la situación de mujeres y hombres indígenas de áreas rurales en el trabajo decente</t>
  </si>
  <si>
    <t xml:space="preserve">Seguridad sobre la tierra (titulación)
Actividad económica/laboral
Ingresos salariales</t>
  </si>
  <si>
    <t xml:space="preserve">Etnicidad/identidad indígena</t>
  </si>
  <si>
    <t xml:space="preserve">Percepción de menor seguridad sobre la tierra:
1,167 comunidades campesinas y 51 tierras nativas aún esperan la titulación, según el censo agrícola y COFOPRI.
Según el Instituto del Bien Común (IBC), casi 4,000 comunidades estarían esperando títulos de tierra (cifra mayor que la reportada oficialmente).
En los años 2011, 2012, y 2014, no se otorgaron títulos de tierras comunales, y en 2013 solo se otorgó uno.
Brecha de género en la actividad económica:
La tasa de actividad económica de las mujeres aumentó de 54.7% a 64.5%, mientras que la tasa para los hombres solo subió de 80% a 82%.
50.1% de las mujeres son trabajadoras por cuenta propia o no remuneradas, en comparación con 36.5% de los hombres.
En la Amazonía, 35.5% de las personas entre 80 y 84 años siguen trabajando, en contraste con un promedio nacional de 14.9%.
En Huallaga, en 1995, el 16.6% de las niñas entre 6 y 14 años trabajaban, en comparación con solo el 2% de los niños.
Brechas salariales:
El 39.6% de las mujeres indígenas no tiene ingresos propios, comparado con el 11.7% de los hombres indígenas y el 30.6% de las mujeres que hablan español.
Las mujeres indígenas de la Amazonía ganan un promedio de 587 soles y las mujeres aymaras 595 soles, en comparación con las mujeres blancas (919 soles) y mestizas (944.7 soles). La diferencia de ingreso entre mujeres indígenas amazónicas y mestizas es de 38%.</t>
  </si>
  <si>
    <t xml:space="preserve">https://www.ilo.org/media/426186/download</t>
  </si>
  <si>
    <t xml:space="preserve">Organización Internacional del Trabajo (OIT)</t>
  </si>
  <si>
    <t xml:space="preserve">Gender Gaps in Commuting Time: Evidence from Peru, Ecuador, Chile, and Colombia</t>
  </si>
  <si>
    <t xml:space="preserve">Campaña, Juan; Gimenez, Ignacio</t>
  </si>
  <si>
    <t xml:space="preserve">Todos los miembros de los hogares, de 12 años o más en Perú, Ecuador y Chile, y de 10 años o más en Colombia.</t>
  </si>
  <si>
    <t xml:space="preserve">Analizar la relación entre el género y el tiempo dedicado a los desplazamientos (commuting) por hombres y mujeres en cuatro países latinoamericanos: Perú, Ecuador, Chile y Colombia.</t>
  </si>
  <si>
    <t xml:space="preserve">Tiempo dedicado a desplazamientos (en horas)</t>
  </si>
  <si>
    <t xml:space="preserve">X1: Género (mujer vs hombre)
X2: Tipo de empleo (autoempleo vs empleo asalariado)
X3: Ubicación (urbano vs rural)</t>
  </si>
  <si>
    <t xml:space="preserve">Mujer:
En Perú (urbano): Las mujeres dedican 0.422 horas menos a los desplazamientos que los hombres, con una significancia del 5% (p&lt;0.05).
En Ecuador (urbano): Las mujeres dedican 0.474 horas menos, significancia del 5% (p&lt;0.05).
En Ecuador (rural): Las mujeres dedican 0.529 horas menos, también con significancia del 5% (p&lt;0.05).
En Chile (urbano): Las mujeres dedican 0.564 horas menos, con significancia del 1% (p&lt;0.01).
En Colombia (urbano): Las mujeres dedican 0.0174 horas menos, con significancia del 1% (p&lt;0.01), aunque la diferencia es muy pequeña.
En Colombia (rural): No hay una diferencia significativa, ya que el coeficiente es 0.0158.
Autoempleo:
En Perú (urbano): Los autoempleados dedican 1.461 horas menos al desplazamiento, con significancia del 1% (p&lt;0.01).
En Ecuador (urbano): Los autoempleados dedican 1.821 horas menos, con significancia del 1% (p&lt;0.01).
En Ecuador (rural): Los autoempleados dedican 0.893 horas menos, con significancia del 1% (p&lt;0.01).
En Chile (urbano): Los autoempleados dedican 2.611 horas menos, con significancia del 1% (p&lt;0.01).
En Colombia (urbano): Los autoempleados dedican 0.120 horas menos, con significancia del 1% (p&lt;0.01).
En Colombia (rural): Los autoempleados dedican 0.0668 horas más, con significancia del 1% (p&lt;0.01).
Interacción entre autoempleo y mujer:
En Ecuador (rural): Las mujeres autoempleadas dedican 0.816 horas menos que los hombres autoempleados, con significancia del 10% (p&lt;0.1).
En Ecuador (urbano): Las mujeres autoempleadas dedican 0.478 horas menos, con significancia del 10% (p&lt;0.1).
En Colombia (urbano y rural): Las mujeres autoempleadas dedican 0.0823 y 0.191 horas menos respectivamente, con significancia del 1% (p&lt;0.01 en ambos casos).
En resumen, los principales efectos muestran que las mujeres dedican menos tiempo a los desplazamientos que los hombres en la mayoría de los contextos, y que los autoempleados en general también dedican menos tiempo a los desplazamientos que los empleados asalariados, con algunas variaciones según el país y la zona (urbana o rural).</t>
  </si>
  <si>
    <t xml:space="preserve">https://link.springer.com/article/10.1007/s10834-023-09921-z</t>
  </si>
  <si>
    <t xml:space="preserve">Springer Link</t>
  </si>
  <si>
    <t xml:space="preserve">C.4 Sistematización de registros administrativos</t>
  </si>
  <si>
    <t xml:space="preserve">Perú: Brechas de Género, 2023: Avances hacia la igualdad de mujeres y hombres</t>
  </si>
  <si>
    <t xml:space="preserve">Instituto Nacional de Estadística e Informática (INEI)</t>
  </si>
  <si>
    <t xml:space="preserve">Mujeres y hombres de Perú de todas las edades y regiones del país.</t>
  </si>
  <si>
    <t xml:space="preserve">Proporcionar una visión completa y actualizada de las brechas de género existentes en Perú, abarcando múltiples aspectos de la vida social, económica y política.</t>
  </si>
  <si>
    <t xml:space="preserve">Salud
Educación
Empleo
Participación
Acceso a tecnologías
Violencia doméstica
Acceso a recursos agrícolas</t>
  </si>
  <si>
    <t xml:space="preserve">Género</t>
  </si>
  <si>
    <t xml:space="preserve">El estudio aborda la relación compleja y multifacética entre las brechas de género y salud, educación, empleo, participación, acceso a tecnologías, violencia dompestica, acceso a recursos agrícolas buscando cuantificar y analizar las disparidades existentes entre mujeres y hombres en múltiples dimensiones de la vida social y económica.</t>
  </si>
  <si>
    <t xml:space="preserve">https://www.gob.pe/institucion/inei/informes-publicaciones/5181683-peru-brechas-de-genero-2023-avances-hacia-la-igualdad-de-mujeres-y-hombres</t>
  </si>
  <si>
    <t xml:space="preserve">INSTITUTO NACIONAL DE ESTADÍSTICA E INFORMÁTICA (INEI)</t>
  </si>
  <si>
    <t xml:space="preserve">Perú: Brechas de Género, 2022: Avances hacia la igualdad de mujeres y hombres</t>
  </si>
  <si>
    <t xml:space="preserve">Brechas socioeconómicas (salud, educación, empleo, participación, tecnología, violencia doméstica, recursos agrícolas)</t>
  </si>
  <si>
    <t xml:space="preserve">https://www.inei.gob.pe/media/MenuRecursivo/publicaciones_digitales/Est/Lib1879/libro.pdf</t>
  </si>
  <si>
    <t xml:space="preserve">What Job Would You Apply to?: Findings on the Impact of Language on Job Searches</t>
  </si>
  <si>
    <t xml:space="preserve">Diaz, Ana; Magdalena, Salas; Piras, Claudia; Agustina Suaya</t>
  </si>
  <si>
    <t xml:space="preserve">La población objetivo son mujeres en edad laboral de cinco países latinoamericanos (Argentina, Chile, Colombia, México y Perú), potencialmente interesadas en ocupaciones tradicionalmente dominadas por hombres.</t>
  </si>
  <si>
    <t xml:space="preserve">Este estudio busca determinar el impacto del lenguaje utilizado en anuncios de empleo sobre las decisiones de postulación de hombres y mujeres en cinco países latinoamericanos (Argentina, Chile, Colombia, México y Perú). Mediante un Experimento de Elección Discreta, se analiza cómo las variaciones lingüísticas en los anuncios, desde orientados a hombres hasta neutrales e inclusivos, influyen en las preferencias de los candidatos potenciales.</t>
  </si>
  <si>
    <t xml:space="preserve">Experimento de Elección Discreta (ECD)</t>
  </si>
  <si>
    <t xml:space="preserve">La intervención consiste en presentar a los participantes pares de anuncios de trabajo hipotéticos con variaciones lingüísticas específicas. Se compara un anuncio base con lenguaje orientado a hombres contra versiones modificadas que utilizan descripciones de habilidades neutras o lenguaje inclusivo. Este diseño permite medir las preferencias reales de los participantes, enfocándose en sectores con subrepresentación femenina para identificar si el lenguaje funciona como barrera de entrada para las mujeres.</t>
  </si>
  <si>
    <t xml:space="preserve">Los tratamientos incluyen:
Control: Anuncio base con habilidad orientada a hombres.
T1: Descripción de habilidad sin especificarla.
T2: Omisión de habilidades.
T3: Declaración de diversidad.
T4: Lenguaje inclusivo de género.</t>
  </si>
  <si>
    <t xml:space="preserve">Probabilidad de elección de anuncios según género</t>
  </si>
  <si>
    <t xml:space="preserve">Variaciones lingüísticas en anuncios de trabajo (lenguaje orientado a hombres vs. lenguaje neutro/inclusivo)</t>
  </si>
  <si>
    <t xml:space="preserve">Outcomes
Aumento en la probabilidad de elección de anuncios con lenguaje inclusivo:
• Mujeres: hasta 58 puntos porcentuales
• Hombres: hasta 38 puntos porcentuales
Mayor preferencia por anuncios con descripciones de habilidades neutras en ambos géneros
Efecto positivo de declaraciones de diversidad en la elección de anuncios para ambos géneros
Consistencia de estos efectos a través de diferentes países y características individuales, con excepción de hombres mayores</t>
  </si>
  <si>
    <t xml:space="preserve">https://publications.iadb.org/en/publications/english/viewer/What-Job-Would-You-Apply-to-Findings-on-the-Impact-of-Language-on-Job-Searches.pdf</t>
  </si>
  <si>
    <t xml:space="preserve">Banco Interamericano de Desarrollo (BID)</t>
  </si>
  <si>
    <t xml:space="preserve">Informe Anual 2022: La Mujer en el Mercado Laboral Peruano</t>
  </si>
  <si>
    <t xml:space="preserve">Ministerio de Trabajo y Promoción del Empleo</t>
  </si>
  <si>
    <t xml:space="preserve">Población Economica Activa (PEA) femenina</t>
  </si>
  <si>
    <t xml:space="preserve">El principal objetivo del informe es analizar las características de la oferta laboral en las mujeres según distintas variables para los últimos seis años, tales como los indicadores globales (tasa de actividad, ocupación o ratio empleo-población, subempleo, empleo asalariado, empleo vulnerable, trabajadores pobres, déficit de empleo y desempleo), principales características del empleo (según categoría ocupacional, estructura de mercado, rama de actividad económica, grupo ocupacional, nivel educativo alcanzado, protección social de las trabajadoras, inadecuación ocupacional, inclusión en el sistema financiero, empleo por departamentos, modalidad contractual de las asalariadas), ingreso y jornada laboral, así como características del desempleo, y la inactividad.</t>
  </si>
  <si>
    <t xml:space="preserve">Condiciones laborales:
Tipo de empleo (independiente/asalariado)
Sector de trabajo
Nivel educativo
Protección social
Ingresos
Formalidad laboral
Segregación ocupacional</t>
  </si>
  <si>
    <t xml:space="preserve">Basado en el informe, las ideas clave sobre el empleo de la mujer en el mercado laboral peruano son:
Alta participación laboral femenina, pero con condiciones precarias.
Predominio del trabajo independiente y asalariado en el sector privado.
Concentración en sectores de servicios, comercio y actividades extractivas.
Mejora en el acceso a la educación superior, aunque persiste una mayoría con educación secundaria.
Aumento en la cobertura de protección social, especialmente en salud.
Tendencia a la baja en los ingresos laborales reales.
Baja proporción de empleos que cumplen con criterios de trabajo decente.
Alta tasa de mujeres jóvenes que ni estudian ni trabajan (NINI).
Elevada informalidad laboral, especialmente en mujeres con más hijos.
Marcada segregación ocupacional por género.
Persistencia de una significativa brecha salarial de género.
Mayor vulnerabilidad laboral en mujeres indígenas, afroperuanas y jóvenes.
Estos hallazgos reflejan desafíos importantes en términos de calidad del empleo, igualdad de oportunidades y equidad salarial para las mujeres en el mercado laboral peruano.</t>
  </si>
  <si>
    <t xml:space="preserve">https://www.gob.pe/institucion/mtpe/informes-publicaciones/5060924-informe-anual-de-la-mujer-en-el-mercado-laboral-2022</t>
  </si>
  <si>
    <t xml:space="preserve">Ministerio de Trabajo y Promoción del Empleo (MTPE)</t>
  </si>
  <si>
    <t xml:space="preserve">D.1 Estudios cualitativos de rigor metodológico</t>
  </si>
  <si>
    <t xml:space="preserve">¿Reinserción y permanencia en el mercado laboral con equidad de género?: el Servicio Cuidado Diurno en madres jóvenes</t>
  </si>
  <si>
    <t xml:space="preserve">Arrunategui, Gabriela; Gieseeke, Micaela</t>
  </si>
  <si>
    <t xml:space="preserve">La población objetivo del estudio son 18 madres jóvenes que son usuarias del Servicio de Cuidado Diurno de Cuna Más en el distrito de Villa El Salvador, así como cinco cuidadoras de dichos espacios. A través de entrevistas semiestructuradas, encuestas y otros métodos cualitativos, se pretende explorar sus experiencias y perspectivas en relación con el programa y su impacto en sus trayectorias laborales.</t>
  </si>
  <si>
    <t xml:space="preserve">El propósito del estudio es analizar los alcances y limitaciones del Servicio de Cuidado Diurno del programa Cuna Más en la reinserción y permanencia laboral de las madres jóvenes en Lima, utilizando un enfoque de género. Se busca entender cómo este servicio puede contribuir a mejorar la autonomía económica de las madres, así como a reducir las desigualdades de género, especialmente entre aquellas con hijos de 6 a 36 meses.</t>
  </si>
  <si>
    <t xml:space="preserve">Efectos en empleo maternal
Desarrollo infantil
Condiciones laborales
Limitaciones del servicio</t>
  </si>
  <si>
    <t xml:space="preserve">Servicio de Cuidado Diurno</t>
  </si>
  <si>
    <t xml:space="preserve">Efectos Positivos
Facilitación del Empleo: El SCD CM ha permitido que las madres trabajen sin la preocupación de cuidar a sus hijos simultáneamente, lo que les brinda seguridad para mantener sus empleos.
Desarrollo Integral de los Niños: Las madres confían en que el SCD CM proporciona una atención adecuada a sus hijos, lo que incluye alimentación, higiene y desarrollo social.
Motivación Laboral: Para muchas madres, la maternidad ha sido un motor para buscar y mantener empleos, lo que ha generado un sentido de responsabilidad y crecimiento personal.
Oportunidad de Satisfacción Personal: El trabajo no solo es una necesidad económica, sino que también proporciona satisfacción personal y la posibilidad de crear vínculos sociales.
Efectos Negativos
Doble Carga Laboral: Las madres enfrentan una carga de trabajo tanto remunerado como no remunerado, lo que genera tensiones en su rutina diaria. Deben equilibrar sus responsabilidades laborales con el cuidado de sus hijos, a menudo sintiéndose abrumadas.
Condiciones Laborales Precarias: Muchas madres tienen trabajos informales y precarios, lo que las expone a la inestabilidad laboral y a la falta de derechos laborales.
Limitaciones del Servicio: Se identificaron varias limitaciones en el SCD CM, como:
Infraestructura Deficiente: Falta de servicios básicos que afectan la confianza de las madres en el servicio.
Rango de Edad: El servicio solo atiende a niños hasta tres años, lo que obliga a algunas madres a dejar de trabajar.
Horarios de Atención: Los horarios del SCD no siempre se alinean con las necesidades laborales de las madres, dificultando su capacidad para recoger a sus hijos a tiempo.
Rotación de Cuidadoras: La alta rotación de cuidadores provoca un proceso de readaptación para los niños, lo que puede requerir que las madres estén presentes durante ese tiempo.
Satisfacción y Retribución de Cuidadoras: Las cuidadoras no cuentan con contratos formales ni beneficios laborales adecuados, lo que puede afectar la calidad del servicio y su permanencia en el puesto.</t>
  </si>
  <si>
    <t xml:space="preserve">https://www.grade.org.pe/en/publicaciones/reinsercion-y-permanencia-en-el-mercado-laboral-con-equidad-de-genero-el-servicio-cuidado-diurno-en-madres-jovenes/</t>
  </si>
  <si>
    <t xml:space="preserve">Sistema de cuidados</t>
  </si>
  <si>
    <t xml:space="preserve">Cuidados comunitarios</t>
  </si>
  <si>
    <t xml:space="preserve">Collective Action, Gender and Ethnicity in Peru: a case study of the People’s Kitchens</t>
  </si>
  <si>
    <t xml:space="preserve">Thorp, Rosemary</t>
  </si>
  <si>
    <t xml:space="preserve">Mujeres indógenas y cholas pertenecientes a los Comedores Populares</t>
  </si>
  <si>
    <t xml:space="preserve">El proposito es estudiar la acción colectiva entre mujeres indígenas y cholas a través del fenómeno de los Comedores Populares</t>
  </si>
  <si>
    <t xml:space="preserve">Empoderamiento femenino
Participación política
Cambios en jerarquías sociales
Solidaridad interseccional</t>
  </si>
  <si>
    <t xml:space="preserve">Comedores autónomos (movimiento social)</t>
  </si>
  <si>
    <t xml:space="preserve">En el siguiente estudio de caso se pueden identificar las siguientes ideas clave y efectos relacionados con los comedores autónomos en Perú:
Éxito inicial: Los comedores autónomos tuvieron un gran éxito durante más de una década, proporcionando un espacio asociativo para mujeres indígenas y cholas.
Empoderamiento: El movimiento permitió a las mujeres desarrollar habilidades, ampliar su agenda y ganar presencia política.
Desafíos enfrentados: El movimiento fue atacado por Sendero Luminoso y cooptado por el gobierno de Fujimori, lo que debilitó sus alianzas y estructura.
Supervivencia: A pesar de estos obstáculos, el movimiento logró sobrevivir y sigue siendo una fuente de empoderamiento y una forma eficiente de permitir que las mujeres trabajen.
Limitaciones: Muchos comedores perdieron parte de su carácter emancipador con el tiempo y tuvieron un impacto limitado en cambiar el equilibrio de poder en la sociedad.
Interseccionalidad: El estudio sugiere que género, etnicidad y pobreza se entrelazan como fuentes de desigualdad grupal y solidaridad.
Barreras estructurales: Las mujeres enfrentaron obstáculos como el clientelismo político, la falta de canales de comunicación y representación, y la discriminación.
Desafío a la jerarquía: El movimiento representó un desafío significativo a las estructuras jerárquicas de la sociedad peruana, aunque enfrentó grandes obstáculos.
Potencial de cambio: El estudio sugiere que comprender estas dinámicas y jerarquías puede aumentar las posibilidades de modificar la rigidez y la desigualdad en la sociedad.</t>
  </si>
  <si>
    <t xml:space="preserve">https://assets.publishing.service.gov.uk/media/57a08b7b40f0b652dd000cde/workingpaper67.pdf</t>
  </si>
  <si>
    <t xml:space="preserve">Centre for Research on Inequality (CRISE)</t>
  </si>
  <si>
    <t xml:space="preserve">Challenges for women's labor market participation and educational opportunities in Peru</t>
  </si>
  <si>
    <t xml:space="preserve">Andersson, Matilda; Risberg, Minna</t>
  </si>
  <si>
    <t xml:space="preserve">La población objetivo de este estudio consistió en dos grupos principales: expertos en temas de desigualdad de género, sistema educativo y mercado laboral en Perú, seleccionados mediante muestreo estratégico; y mujeres peruanas con experiencia en el mercado laboral, elegidas por muestreo de conveniencia. Este último grupo incluyó tanto a mujeres con carreras prometedoras y entornos sociales ventajosos, como a mujeres de entornos menos favorecidos, desempleadas o con dificultades laborales. En total, se entrevistaron a ocho personas, buscando obtener una combinación de perspectivas expertas e individuales sobre las posibilidades, obstáculos y vías de acceso al empleo para las mujeres en Perú a través de oportunidades educativas.</t>
  </si>
  <si>
    <t xml:space="preserve">Obtener una comprensión profunda de las posibilidades, obstáculos y caminos hacia el empleo para las mujeres en Perú a través de oportunidades educativas.</t>
  </si>
  <si>
    <t xml:space="preserve">Participación laboral femenina
Oportunidades de empleo
Impacto de la pandemia</t>
  </si>
  <si>
    <t xml:space="preserve">Normas de género
Estructuras de clase</t>
  </si>
  <si>
    <t xml:space="preserve">Las normas de género y las estructuras de clase afectan las oportunidades de las mujeres para participar en el mercado laboral en Perú.
Las mujeres enfrentan mayores dificultades para ingresar y alcanzar posiciones más altas en el mercado laboral debido a las normas culturales y la cultura machista.
La educación es importante para la participación de las mujeres en el mercado laboral, pero no es suficiente por sí sola debido a las normas de género y las estructuras de clase existentes.
Las mujeres a menudo siguen las trayectorias educativas y profesionales de sus padres, lo que perpetúa las desigualdades existentes.
La pandemia de COVID-19 ha exacerbado las desigualdades de género y clase preexistentes:
Ha afectado más a las mujeres en términos de carga de trabajo doméstico y cuidado infantil.
Ha hecho más visibles las diferencias de clase en la educación remota.
Ha afectado más a los sectores dominados por mujeres en el mercado laboral.
Las mujeres en el sector informal son particularmente vulnerables a crisis como la pandemia.
Se necesita más investigación con una muestra más grande para generalizar los resultados a toda la población peruana.
Se sugiere realizar más investigaciones sobre el mercado laboral informal y su conexión con la desigualdad de género.</t>
  </si>
  <si>
    <t xml:space="preserve">https://gupea.ub.gu.se/bitstream/handle/2077/73902/Matilda%20Andersson%20Minna%20Risberg%20Challenges%20for%20women%27s%20labor.pdf?sequence=3&amp;isAllowed=y</t>
  </si>
  <si>
    <t xml:space="preserve">Violencia contra las mujeres e integrantes del grupo familiar</t>
  </si>
  <si>
    <t xml:space="preserve">Trata y explotación sexual</t>
  </si>
  <si>
    <t xml:space="preserve">D.2 Sistematización de opiniones de expertos</t>
  </si>
  <si>
    <t xml:space="preserve">Compendio de balance de investigaciones del proyecto "No más mujeres invisibles: contra la trata, explotación sexual y violencia sexual en zonas de minería informal de Madre de Dios y Piura"</t>
  </si>
  <si>
    <t xml:space="preserve">Sarmiento, Katherine; Aguilar, Aracely</t>
  </si>
  <si>
    <t xml:space="preserve">Mujeres de Piura y Madre de Dios, particularmente adolescentes y jóvenes</t>
  </si>
  <si>
    <t xml:space="preserve">El propósito de este documento es ofrecer una lectura integrada de la situación de la trata de personas en el Perú y difundir las investigaciones más recientes sobre este tema, con el fin de contribuir a la comprensión del fenómeno y aportar a la elaboración de políticas públicas efectivas.</t>
  </si>
  <si>
    <t xml:space="preserve">La trata de personas</t>
  </si>
  <si>
    <t xml:space="preserve">Los factores mencionados (desigualdades estructurales, factores económicos, etc.)</t>
  </si>
  <si>
    <t xml:space="preserve">Factores que influyen en la trata de personas:
Desigualdades estructurales socioeconómicas y de género
Factores económicos, socioculturales, institucionales e individuales
Minería ilegal e informal
Pobreza multidimensional
Narcotráfico
Débil tejido social</t>
  </si>
  <si>
    <t xml:space="preserve">https://cies.org.pe/publicaciones/aportes-a-la-comprension-de-la-trata-de-personas-en-el-peru-compendio-de-balance-de-investigaciones/</t>
  </si>
  <si>
    <t xml:space="preserve">Guía didáctica para docentes que buscan promover la investigación sobre trata de personas</t>
  </si>
  <si>
    <t xml:space="preserve">Docentes de educación superior que imparten cursos de metodología de investigación o cursos relacionados con la trata de personas. Indirectamente, también incluye a los estudiantes universitarios que serán guiados en sus procesos de investigación sobre este tema.</t>
  </si>
  <si>
    <t xml:space="preserve">El propósito principal de esta guía didáctica es ofrecer a docentes de educación superior herramientas y estrategias para enseñar a investigar sobre el tema de la trata de personas en Perú. Busca apoyar a los docentes en el diseño de estrategias pedagógicas orientadas al desarrollo de competencias de investigación en sus estudiantes, específicamente en el complejo tema de la trata de personas.</t>
  </si>
  <si>
    <t xml:space="preserve">Práctica investigativa
Generación de evidencia para políticas públicas
Desarrollo de competencias investigativas
Comprensión del fenómeno de trata</t>
  </si>
  <si>
    <t xml:space="preserve">Enseñanza de investigación
Enfoques metodológicos (derechos humanos, género)
Estrategias pedagógicas</t>
  </si>
  <si>
    <t xml:space="preserve">Relaciones abordadas:
La relación entre la enseñanza y la práctica de la investigación, especialmente en temas complejos como la trata de personas.
La relación entre la investigación académica y la generación de evidencia para políticas públicas contra la trata de personas.
La relación entre diferentes enfoques (derechos humanos, género, etc.) y la comprensión del fenómeno de la trata de personas.
La relación entre la trata de personas y otras actividades ilegales como la minería ilegal, el tráfico de drogas y el contrabando.
La relación entre las estrategias pedagógicas y el desarrollo de competencias de investigación en los estudiantes.</t>
  </si>
  <si>
    <t xml:space="preserve">https://cies.org.pe/publicaciones/guia-didactica-para-docentes-que-buscan-promover-la-investigacion-sobre-trata-de-personas/</t>
  </si>
  <si>
    <t xml:space="preserve">Caja de herramientas sobre derechos humanos, diversidad sexual, corporal y de género</t>
  </si>
  <si>
    <t xml:space="preserve">Anaya, Karen</t>
  </si>
  <si>
    <t xml:space="preserve">Congresistas de la República del Perú y Personal parlamentario</t>
  </si>
  <si>
    <t xml:space="preserve">La Caja de herramientas busca sistematizar información y recursos
prácticos para apoyar la labor legislativa en diferentes ámbitos. De esa
manera, se hace posible proporcionar orientación para integrar la temática
de diversidad sexual, corporal y género en la labor de congresistas de la
República y el personal parlamentario, con el fin de promover la garantía
y defensa de los derechos humanos de las personas LGBTI+, a través de la
adecuación normativa, fiscalización y representación parlamentaria.</t>
  </si>
  <si>
    <t xml:space="preserve">Protección de derechos LGBTI+
Implementación Agenda 2030
Prevención de violaciones DDHH</t>
  </si>
  <si>
    <t xml:space="preserve">Labor congresal
Capacitación/información sobre diversidad
Acciones parlamentarias (legislación, fiscalización</t>
  </si>
  <si>
    <t xml:space="preserve">La relación principal abordada en este documento es entre los congresistas/personal parlamentario y la protección de los derechos de las personas LGBTI+. Específicamente, se abordan las siguientes relaciones:
La relación entre la labor congresal y la defensa de los derechos humanos de las personas LGBTI+.
La relación entre la información/conocimiento sobre temas de diversidad sexual, corporal y de género y el ejercicio efectivo de la función parlamentaria.
La relación entre las acciones legislativas, representativas y de fiscalización del Congreso y la promoción de la garantía y defensa de derechos de las personas LGBTI+.
La relación entre la capacitación de funcionarios públicos (en este caso, congresistas) y la prevención de violaciones a los derechos humanos.
La relación entre la labor congresal y la implementación de la Agenda 2030 para la inclusión de las personas LGBTI+.</t>
  </si>
  <si>
    <t xml:space="preserve">https://cies.org.pe/publicaciones/caja-de-herramientas-sobre-derechos-humanos-diversidad-sexual-corporal-y-de-genero/</t>
  </si>
  <si>
    <t xml:space="preserve">Brecha salarial por género en el Perú y su tratamiento: reflexiones sobre la Ley de Igualdad Salarial y su Reglamento</t>
  </si>
  <si>
    <t xml:space="preserve">Salas, Gabriela</t>
  </si>
  <si>
    <t xml:space="preserve">Población Economica Activa (PEA) femenina ocupada</t>
  </si>
  <si>
    <t xml:space="preserve">Este artículo tiene por objeto reflexionar en torno al complejo fenómeno que es la brecha salarial por género en el Perú y la idoneidad de las medidas adoptadas por el Estado Peruano para eliminar este problema</t>
  </si>
  <si>
    <t xml:space="preserve">Reducción de la brecha salarial
Igualdad remunerativa
Equidad en espacios laborales</t>
  </si>
  <si>
    <t xml:space="preserve">Acción estatal/normativa
Marco legal de igualdad remunerativa
Enfoque multidisciplinario y de género</t>
  </si>
  <si>
    <t xml:space="preserve">Reconocimiento de la complejidad del problema: Se reconoce que la brecha salarial por género es un problema multicausal que requiere un análisis multidimensional.
Acción estatal: El Estado peruano ha asumido un rol activo al promulgar una primera norma sobre igualdad remunerativa, en cumplimiento de sus obligaciones internacionales.
Reducción de la arbitrariedad salarial: La ley busca reducir la arbitrariedad en la determinación de salarios dentro de las empresas.
Garantía de derechos: La normativa pretende garantizar el derecho de los trabajadores a recibir un salario igual por trabajo de igual valor.
Necesidad de medidas complementarias: Se reconoce que, aunque la ley es un primer paso importante, se requieren medidas adicionales para abordar las causas subyacentes de la brecha de género.
Enfoque multidisciplinario: Se enfatiza la necesidad de un enfoque que vaya más allá de lo legal, incorporando perspectivas de otras ciencias sociales.
Importancia de la perspectiva de género: Se destaca la perspectiva de género como una herramienta social clave para visibilizar las consecuencias de la discriminación y promover la igualdad en el ámbito laboral.
Oportunidad de cambio: La ley y su reglamento ofrecen una oportunidad para analizar las instituciones del trabajo desde una perspectiva de igualdad y crear espacios de trabajo más equitativos.
Retos futuros: Se anticipa que la implementación de esta normativa presentará desafíos que deberán ser abordados.</t>
  </si>
  <si>
    <t xml:space="preserve">https://revistas.pucp.edu.pe/index.php/iusetveritas/article/view/22499</t>
  </si>
  <si>
    <t xml:space="preserve">Acceso a la justicia y marcos conceptuales</t>
  </si>
  <si>
    <t xml:space="preserve">D.3 Análisis de marcos teóricos o conceptuales reconocidos por la comunidad académica internacional</t>
  </si>
  <si>
    <t xml:space="preserve">PENSANDO EN GÉNERO:MARCO CONCEPTUAL PARA LA ADMINISTRACIÓN DE JUSTICIA CON ENFOQUE DE GÉNERO</t>
  </si>
  <si>
    <t xml:space="preserve">Fondo de Población de las Naciones Unidas-Perú (UNFPA); Programa de las Naciones Unidas para el Desarrollo (PNUD); Organización Mundial de la Salud (OMS); Ministerio de Asuntos Exteriores y de Cooperación; Emakunde</t>
  </si>
  <si>
    <t xml:space="preserve">La población objetivo del estudio incluye a los magistrados y magistradas del Poder Judicial, así como otros operadores de justicia y funcionarios involucrados en la administración de justicia. También se puede extender a aquellos interesados en la temática de género en el ámbito legal y judicial, con el fin de fomentar una cultura de justicia con enfoque de género en el país.</t>
  </si>
  <si>
    <t xml:space="preserve">El propósito del estudio “Pensando en Género: Marco Conceptual para la Administración de Justicia con Enfoque de Género” es proporcionar un marco teórico y práctico que facilite la incorporación del enfoque de género en el sistema judicial. Busca capacitar a los magistrados y magistradas en el análisis de las desigualdades de género, de modo que sus decisiones judiciales reflejen una comprensión adecuada de estas diferencias y promuevan la equidad en la aplicación de la ley.</t>
  </si>
  <si>
    <t xml:space="preserve">Calidad decisiones judiciales
Equidad género sistema judicial
Confianza ciudadana sistema judicial</t>
  </si>
  <si>
    <t xml:space="preserve">Enfoque de género judicial
Capacitación en género
Formación especializada magistrados</t>
  </si>
  <si>
    <t xml:space="preserve">Mejora en la Calidad de las Decisiones Judiciales: La incorporación del enfoque de género en la práctica judicial puede llevar a decisiones más informadas y justas, al reconocer y abordar las desigualdades que afectan a mujeres y hombres en diferentes contextos.
Fortalecimiento de Capacidades: La capacitación de magistrados y magistradas en cuestiones de género proporciona herramientas para identificar y analizar discriminaciones y desigualdades, lo que fortalece sus capacidades para aplicar la ley de manera equitativa.
Promoción de la Equidad de Género: La implementación de un enfoque de género en la administración de justicia contribuye a la promoción de la equidad de género, desafiando normas y estereotipos que perpetúan la desigualdad.
Cumplimiento de Normativas Internacionales: La formación en enfoques de género apoya el cumplimiento de compromisos internacionales sobre derechos humanos y género, facilitando la aplicación de convenios y tratados que buscan eliminar la discriminación.
Conciencia Social y Cambio Cultural: La educación y sensibilización sobre género en el sistema judicial pueden tener un efecto multiplicador en la sociedad, contribuyendo a cambiar percepciones y actitudes hacia la violencia de género y otras desigualdades.
Mejora de la Confianza en el Sistema Judicial: Un sistema judicial que opera con un enfoque de género puede aumentar la confianza de la población, especialmente de las mujeres, al percibir que sus necesidades y realidades son comprendidas y atendidas adecuadamente.
Identificación de Brechas en la Justicia: La formación en género permite detectar brechas en la justicia y diseñar políticas y prácticas que aborden estas desigualdades, mejorando así la efectividad del sistema judicial.</t>
  </si>
  <si>
    <t xml:space="preserve">https://peru.unfpa.org/sites/default/files/pub-pdf/PODER%20JUDICIAL%20publicacion_pensando%20en%20g%C3%A9nero.pdf</t>
  </si>
  <si>
    <t xml:space="preserve">FONDO DE POBLACIÓN DE LAS NACIONES UNIDAS (UNFPA)</t>
  </si>
  <si>
    <t xml:space="preserve">Cuidados institucionales</t>
  </si>
  <si>
    <t xml:space="preserve">Universalizar las cunas para reducir las brechas sociales y de género</t>
  </si>
  <si>
    <t xml:space="preserve">Rousseau, Stéphanie</t>
  </si>
  <si>
    <t xml:space="preserve">Mujeres usuarias del Servicio de Cuidado Diurno del Programa Nacional Cuna Más cuyo hijos tengan entre 3 a 36 meses de edad</t>
  </si>
  <si>
    <t xml:space="preserve">El documento propone desarrollar una política de universalización de servicios de cuidado infantil (cunas) para niños de 3 a 36 meses, con el objetivo de reducir las brechas de género en el mercado laboral, mejorar el desarrollo infantil temprano, disminuir la pobreza infantil y generar empleo formal en el sector de cuidados. La política plantea implementar diferentes modalidades complementarias de servicio que involucran al sector público, privado y la sociedad civil para garantizar el acceso universal a servicios de cuidado infantil de calidad.</t>
  </si>
  <si>
    <t xml:space="preserve">Participación laboral femenina</t>
  </si>
  <si>
    <t xml:space="preserve">Acceso a servicios de cuidado infantil por parte de Cuna Más</t>
  </si>
  <si>
    <t xml:space="preserve">https://www.mimp.gob.pe/omep/pdf/evidencias/Rousseau2021.pdf</t>
  </si>
  <si>
    <t xml:space="preserve">MINISTERIO DE LA MUJER Y POBLACIONES VULNERABLES (MIMP)</t>
  </si>
  <si>
    <t xml:space="preserve">Violencia basado en género. Marco conceptual para las políticas públicas y la acción del Estado</t>
  </si>
  <si>
    <t xml:space="preserve">Ministerio de la Mujer y Poblaciones Vulnerables (MIMP)</t>
  </si>
  <si>
    <t xml:space="preserve">La población objetivo son principalmente las mujeres peruanas, con inclusión de la comunidad LGBTIQ+ y otras personas afectadas por la violencia basada en género.</t>
  </si>
  <si>
    <t xml:space="preserve">El propósito principal de este estudio es proporcionar un marco conceptual sobre la violencia basada en género (VBG) para informar y unificar las políticas públicas y la acción del Estado peruano en este tema</t>
  </si>
  <si>
    <t xml:space="preserve">Eficacia en intervención
Visibilidad del problema
Compromiso social contra violencia</t>
  </si>
  <si>
    <t xml:space="preserve">Marco normativo (Ley 30364)
Programas de prevención
Articulación intersectorial</t>
  </si>
  <si>
    <t xml:space="preserve">Mejora en el Marco Normativo: La implementación de la Ley N° 30364 ha proporcionado un marco más sólido y protector para enfrentar la violencia de género en comparación con la anterior ley, lo que representa un avance importante en la legislación.
Incremento de la Visibilidad del Problema: Las estrategias y programas de intervención han contribuido a visibilizar la violencia de género como un problema social urgente, generando conciencia en la población sobre su gravedad y sus múltiples formas.
Fortalecimiento de la Articulación Intersectorial: Se ha identificado la necesidad de mejorar la coordinación entre diferentes sectores y niveles de gobierno para una respuesta más eficaz ante la violencia de género, aunque esta articulación aún está en proceso de desarrollo.
Enfoque Integral en la Prevención y Atención: La combinación de enfoques de género, interculturalidad e interseccionalidad ha permitido abordar la violencia de manera más completa, considerando las diversas realidades y contextos de las personas afectadas.
Desarrollo de Programas de Prevención: Se han implementado iniciativas para la educación y sensibilización ciudadana, lo que busca cambiar las percepciones y actitudes hacia la violencia de género y promover relaciones más equitativas.
Desafíos en la Implementación: Aunque se han hecho avances, persisten desafíos en la implementación efectiva de las políticas, especialmente en lo que respecta a la capacitación de personal, la disponibilidad de recursos y la sostenibilidad de las iniciativas.
Compromiso Social: Se busca generar un compromiso social más amplio en la lucha contra la violencia de género, involucrando a la ciudadanía en la identificación y modificación de patrones de género que perpetúan la violencia.
Necesidad de Evaluación Continua: La construcción de políticas públicas efectivas requiere un diálogo constante entre el Estado y la ciudadanía, así como la evaluación y ajuste de las intervenciones en función de los resultados obtenidos.</t>
  </si>
  <si>
    <t xml:space="preserve">https://www.mimp.gob.pe/files/direcciones/dgcvg/mimp-marco-conceptual-violencia-basada-en-genero.pdf</t>
  </si>
  <si>
    <t xml:space="preserve">Interseccionalidad</t>
  </si>
  <si>
    <t xml:space="preserve">Enfoques transversales</t>
  </si>
  <si>
    <t xml:space="preserve">Trayectorias de las mujeres jóvenes en el Perú rural. Reflexiones para las políticas públicas y el desarrollo rural a partir de los censos de población (1961-2017)</t>
  </si>
  <si>
    <t xml:space="preserve">Boyd, Chris</t>
  </si>
  <si>
    <t xml:space="preserve">Mujeres jóvenes rurales en Perú de 15 a 34 años</t>
  </si>
  <si>
    <t xml:space="preserve">El propósito del estudio es analizar y documentar los cambios experimentados por las mujeres jóvenes rurales en el Perú, examinando sus trayectorias y transformaciones a lo largo de varias décadas (1961-2017) en aspectos como educación formal, autonomía en la toma de decisiones, acceso a activos y servicios.</t>
  </si>
  <si>
    <t xml:space="preserve">Educación:
Asistencia a centros educativos
Nivel educativo alcanzado (secundaria completa o superior)
Fertilidad:
Número de hijos
Porcentaje de mujeres sin hijos
Participación Laboral:
Tasa de actividad laboral
Tipo de ocupación</t>
  </si>
  <si>
    <t xml:space="preserve">Características demográficas:
Área de residencia (rural/urbana)
Región geográfica
Grupo de edad
Etnicidad (autoidentificación)
Características socioeconómicas:
Estado civil
Nivel educativo
Condición laboral</t>
  </si>
  <si>
    <t xml:space="preserve">Efectos principales encontrados:
Las mujeres jóvenes rurales tienen:
Menor asistencia educativa (28.7% vs 43.8% urbana)
Mayor número promedio de hijos (1.24 vs 0.80 urbana)
Menor participación laboral (24.6% vs 44.2% urbana)
Se identifican brechas persistentes entre:
Áreas rurales y urbanas
Grupos de edad
Géneros (comparación con varones rurales)
Tendencias temporales:
Mejora en indicadores educativos
Reducción de fertilidad
Cambios en patrones de ocupación laboral (de agricultura a comercio y servicios)</t>
  </si>
  <si>
    <t xml:space="preserve">https://repositorio.iep.org.pe/handle/IEP/1148</t>
  </si>
  <si>
    <t xml:space="preserve">Instituto de Estudios Peruanos</t>
  </si>
  <si>
    <t xml:space="preserve">“EN CAPILLA”: DESIGUALDADES EN LA INSERCIÓN LABORAL DE MUJERES JÓVENES</t>
  </si>
  <si>
    <t xml:space="preserve">Barrantes, Roxana; Matos-Trifu, Paulo</t>
  </si>
  <si>
    <t xml:space="preserve">Para la primera estrategia: Jóvenes profesionales menores de 30 años egresados de educación superior
Para la segunda estrategia: Jóvenes que tenían entre 18-25 años en 2011 (primer panel) o 2013 (segundo panel)</t>
  </si>
  <si>
    <t xml:space="preserve">Analizar las desigualdades laborales de género juveniles desde dos perspectivas:
El acceso a empleos de calidad
Las desigualdades en el crecimiento salarial/ingreso por trabajo independiente</t>
  </si>
  <si>
    <t xml:space="preserve">Las características personales y del mercado laboral</t>
  </si>
  <si>
    <t xml:space="preserve">Probabilidad de renunciar</t>
  </si>
  <si>
    <t xml:space="preserve">Las mujeres tienen una mayor probabilidad de quedar fuera del mercado laboral (PEA o desempleo) y menores probabilidades de acceder a empleos de calidad en comparación con los hombres.
El primer empleo influye en la trayectoria laboral: quienes comienzan en un empleo informal o subempleado tienen una mayor probabilidad de permanecer en ese sector.
Factores socioeconómicos agravan la desigualdad: tener una madre que habla una lengua indígena, menor nivel educativo en los padres y vivir en condiciones de pobreza (NBI alto) reducen las oportunidades de acceso a empleos formales.
La elección de carrera impacta en la estabilidad laboral: egresados de ingenierías, ciencias exactas y comerciales tienen mayores probabilidades de acceder a empleos formales y bien remunerados en comparación con egresados de educación o humanidades.
Interrupciones en los estudios y falta de orientación laboral aumentan la vulnerabilidad: quienes han interrumpido sus estudios o no han recibido orientación laboral enfrentan mayores dificultades para acceder y mantenerse en empleos formales.
Las competencias digitales (HabTIC) y contar con un título o posgrado reducen la probabilidad de renunciar, favoreciendo la permanencia en el mercado laboral formal.</t>
  </si>
  <si>
    <t xml:space="preserve">https://cies.org.pe/investigacion/en-capilla-desigualdades-en-la-insercion-laboral-de-mujeres-jovenes/</t>
  </si>
  <si>
    <t xml:space="preserve">IEP</t>
  </si>
  <si>
    <t xml:space="preserve">Cuidados domiciliarios</t>
  </si>
  <si>
    <t xml:space="preserve">Tiempos de cuidados Desigualdades, economía feminista y trabajo de cuidados en el Perú. Aportes para transformar un sistema en crisis</t>
  </si>
  <si>
    <t xml:space="preserve">Pérez, Leda; Lavado, Tamia; Velazco, Julia; Velazco, Jackeline; Vásquez, Giovanna; Osorio, Susana; Ñopo, Hugo; Alayza, Alejandra</t>
  </si>
  <si>
    <t xml:space="preserve">La población objetivo principal de este estudio son las mujeres peruanas, especialmente aquellas involucradas en trabajos de cuidado remunerados y no remunerados, incluyendo trabajadoras domésticas, mujeres rurales, madres y trabajadoras del sector salud, así como las niñas afectadas por la carga del trabajo de cuidados.</t>
  </si>
  <si>
    <t xml:space="preserve">El propósito de este estudio es contribuir al análisis y propuestas sobre la economía del cuidado en el Perú, promoviendo sistemas de cuidados y el enfoque de la economía feminista como elementos claves en la lucha contra las desigualdades económicas y de género.</t>
  </si>
  <si>
    <t xml:space="preserve">Autonomía económica mujeres
Participación mercado laboral
Desigualdad social entre mujeres</t>
  </si>
  <si>
    <t xml:space="preserve">Trabajo de cuidados no remunerado
Normas sociales de género
Políticas públicas de cuidado</t>
  </si>
  <si>
    <t xml:space="preserve">La relación entre el trabajo de cuidados no remunerado y la autonomía económica de las mujeres.
La relación entre las responsabilidades de cuidado y la participación de las mujeres en el mercado laboral formal.
La interacción entre el trabajo doméstico remunerado y no remunerado, y cómo esto perpetúa desigualdades entre mujeres de diferentes clases sociales.
La relación entre las políticas públicas (o su ausencia) y la carga del trabajo de cuidados en las mujeres.
La conexión entre las normas sociales de género y la distribución desigual del trabajo de cuidados.</t>
  </si>
  <si>
    <t xml:space="preserve">https://oi-files-cng-prod.s3.amazonaws.com/peru.oxfam.org/s3fs-public/file_attachments/Tiempos-de-Cuidados.pdf</t>
  </si>
  <si>
    <t xml:space="preserve">OXFAM</t>
  </si>
  <si>
    <t xml:space="preserve">B.4 Técnicas de emparejamiento</t>
  </si>
  <si>
    <t xml:space="preserve">Economía del cuidado, desigualdades de género y participación en el mercado laboral: el caso de Cuna Más</t>
  </si>
  <si>
    <t xml:space="preserve">Rentería, José María; Boyd, Chris</t>
  </si>
  <si>
    <t xml:space="preserve">Mujeres en edad para trabajar con hijos de 6 a 36 meses que accedan o no al Servicio de Cuidado Diurno (SCD) de Cuna Más</t>
  </si>
  <si>
    <t xml:space="preserve">Este estudio explora el impacto del componente de cuidado diurno de Cuna Más sobre la participación laboral femenina y las condiciones de empleo, los cuales no son objetivos explícitos del programa</t>
  </si>
  <si>
    <t xml:space="preserve">Participación laboral femenina y condiciones de empleo</t>
  </si>
  <si>
    <t xml:space="preserve">Participación en el programa Cuna Más (componente de cuidado diurno)</t>
  </si>
  <si>
    <t xml:space="preserve">Incremento del 14% en la probabilidad de que las usuarias estén ocupadas en el mercado de trabajo (pertenezcan a la PEA ocupada).
Impacto negativo del 6% sobre la probabilidad de tener un empleo informal en el sector informal.
Impacto positivo del 7% sobre la probabilidad de tener un empleo informal en el sector formal.
Disminución de la probabilidad de ser trabajadoras independientes.
Mayor probabilidad (14% más) de contar con un empleo informal en el sector formal para las usuarias en distritos con presencia de Cuna Más, comparado con no usuarias en distritos sin el programa.
Menor probabilidad (11% menos) de ser trabajadoras familiares no remuneradas para las usuarias en distritos con Cuna Más.
No se encontraron efectos significativos sobre el número de horas totales trabajadas ni sobre el empleo formal.
Mejora en las condiciones laborales de las madres usuarias (menos informales), aunque en algunos casos realizan más horas de trabajo en total.
El programa no parece conducir a una redistribución de las tareas al interior del hogar, manteniendo las desigualdades de género en la carga global de trabajo.
Estos efectos sugieren que Cuna Más tiene un impacto positivo en la participación laboral de las mujeres, pero no necesariamente en la calidad del empleo o en la igualdad de género dentro del hogar.</t>
  </si>
  <si>
    <t xml:space="preserve">https://cies.org.pe/investigacion/economia-del-cuidado-desigualdades-de-genero-y-participacion-cuna-mas/</t>
  </si>
  <si>
    <t xml:space="preserve">Consorcio de Investigación Económica y Social (CIES)</t>
  </si>
  <si>
    <t xml:space="preserve">Cuidados domésticos</t>
  </si>
  <si>
    <t xml:space="preserve">Unfolding Patterns of Unpaid Household Work in Latin America</t>
  </si>
  <si>
    <t xml:space="preserve">Amarante, Verónica; Rossel, Cecilia</t>
  </si>
  <si>
    <t xml:space="preserve">La población objetivo son hombres y mujeres en edad de trabajar en Colombia, México, Perú y Uruguay, según las encuestas de uso del tiempo de 2007-2010.</t>
  </si>
  <si>
    <t xml:space="preserve">Analizar y comparar la distribución del trabajo no remunerado entre hombres y mujeres en Colombia, México, Perú y Uruguay, utilizando datos de encuestas de uso del tiempo del período 2007-2010.</t>
  </si>
  <si>
    <t xml:space="preserve">Horas dedicadas al trabajo no remunerado</t>
  </si>
  <si>
    <t xml:space="preserve">Características observables individuales (sexo, edad, etc.)</t>
  </si>
  <si>
    <t xml:space="preserve">En los cuatro países estudiados (Colombia, México, Perú y Uruguay), las variables a nivel individual más relacionadas con la asignación del trabajo no remunerado son similares a las identificadas en el mundo desarrollado.
El género, la edad, los ingresos y la presencia de niños en el hogar están significativamente correlacionados con el tiempo dedicado al trabajo no remunerado en todos los países.
El trabajo no remunerado es mucho más sensible a las características personales y del hogar en el caso de las mujeres que en el de los hombres.
Tener trabajos más flexibles (reflejado por la condición de informalidad) se asocia con más tiempo dedicado al trabajo no remunerado para las mujeres, pero el patrón es más débil para los hombres.
La presencia de niños de 0 a 5 años tiene un efecto entre cuatro y seis veces mayor para las mujeres que para los hombres en términos de tiempo dedicado al trabajo no remunerado.
La presencia de niños de 13 a 18 años parece aliviar la carga de trabajo no remunerado, especialmente cuando esos niños son niñas.
La distribución desigual de horas de trabajo entre hombres y mujeres no es producto de sus diferentes características observables, sino el resultado de mecanismos subyacentes más complejos y no explicados.
Existen diferencias entre los países en cuanto a la brecha de género en la asignación del trabajo no remunerado, que van más allá de las diferencias en las configuraciones de variables a nivel individual.</t>
  </si>
  <si>
    <t xml:space="preserve">https://www.tandfonline.com/doi/abs/10.1080/13545701.2017.1344776</t>
  </si>
  <si>
    <t xml:space="preserve">Feminist Economics</t>
  </si>
  <si>
    <t xml:space="preserve">Igualdad de género en el Perú Hacia una mejor distribución del trabajo remunerado y no remunerado</t>
  </si>
  <si>
    <t xml:space="preserve">Mujeres y hombres parte de la Población en Edad de Trabajar (PET)</t>
  </si>
  <si>
    <t xml:space="preserve">El propósito de este estudio es que sitúa las brechas de género de los resultados laborales y educacionales del Perú en un contexto comparativo y analiza los factores que contribuyen a la desigualdad de resultados, incluyendo la distribución desigual de labores no remuneradas.</t>
  </si>
  <si>
    <t xml:space="preserve">Desigualdades de género (medidas en carga de cuidados, violencia doméstica y oportunidades económicas)</t>
  </si>
  <si>
    <t xml:space="preserve">La pandemia exacerbó las desigualdades de género existentes en diversos ámbitos, incluyendo la carga de cuidados, la violencia doméstica y las oportunidades económicas.
Es crucial que las políticas de respuesta y recuperación tengan en cuenta la perspectiva de género para abordar estos desafíos específicos que enfrentan las mujeres.
Se destaca la importancia de fortalecer los sistemas de protección social y apoyar a las mujeres más vulnerables, especialmente en términos económicos.
La violencia contra las mujeres parece haber aumentado durante la pandemia, lo que requiere una respuesta política urgente y efectiva.
Es necesario un enfoque interseccional que considere cómo diferentes factores como la edad, la etnia y la situación socioeconómica afectan las experiencias de las mujeres durante la crisis.
Se menciona la necesidad de políticas que aborden las desigualdades estructurales a largo plazo, no solo las consecuencias inmediatas de la pandemia.
El texto sugiere que es importante involucrar a las mujeres en los procesos de toma de decisiones relacionados con la respuesta a la pandemia y la recuperación.
Se enfatiza la necesidad de datos desagregados por género para informar mejor las políticas y monitorear su impacto.
La reflexión parece abogar por un enfoque holístico que integre la perspectiva de género en todas las áreas de política pública, desde la salud hasta la economía.</t>
  </si>
  <si>
    <t xml:space="preserve">https://read.oecd-ilibrary.org/social-issues-migration-health/igualdad-de-genero-en-el-peru_34a988b3-es#page7</t>
  </si>
  <si>
    <t xml:space="preserve">Demand for paid domestic labor in urban Peru</t>
  </si>
  <si>
    <t xml:space="preserve">Garavito, Cecilia</t>
  </si>
  <si>
    <t xml:space="preserve">Hogares remunerados en el sector urbano</t>
  </si>
  <si>
    <t xml:space="preserve">Analizar los determinantes de la probabilidad de demandar trabajo doméstico remunerado (TDR) y estimar la demanda de los hogares por estos servicios en áreas urbanas de Perú.</t>
  </si>
  <si>
    <t xml:space="preserve">Demanda de trabajo doméstico remunerado (probabilidad de contratación y horas demandadas)</t>
  </si>
  <si>
    <t xml:space="preserve">Características del hogar (ingresos laborales y no laborales, ubicación, composición familiar)</t>
  </si>
  <si>
    <t xml:space="preserve">Mecanismo: Organización tradicional del hogar
Efecto:
Hogares "mayores" y con más ingresos contratan más THR "cama adentro"
Mayor dependencia de los ingresos del jefe varón para contratar THR "cama adentro"
Mecanismo: Cambios generacionales en la organización del hogar
Efecto:
Hogares más jóvenes prefieren contratar THR "cama afuera" o por horas
Menor probabilidad de contratar THR entre jóvenes (debido a menores ingresos, retraso en la maternidad o decisión de no tener hijos)
Mecanismo: Efecto sustitución
Efecto:
Al aumentar los ingresos salariales del jefe y cónyuge, se sustituye el trabajo de los miembros del hogar por THR contratado
Mecanismo: Efecto ingreso
Efecto:
Mayor demanda de horas de THR al aumentar los ingresos del hogar
Mecanismo: Dinámica de mercado en Lima Metropolitana
Efecto:
Jornadas laborales más largas para THR en Lima Metropolitana
Mecanismo: Persistencia de roles de género tradicionales
Efecto:
Reducción de horas demandadas de THR "cama adentro" cuando hay presencia de mujeres en el hogar
Mecanismo: Factores culturales (lengua materna)
Efecto:
Menor probabilidad de contratar THR en hogares donde el jefe tiene lengua materna nativa
Mecanismo: Presencia de hijos pequeños
Efecto:
Aumento en la probabilidad de contratar THR cuando hay hijos menores de 6 años
Mecanismo: Diferencias en el impacto de los ingresos según la fuente y el tipo de THR
Efecto:
Los efectos marginales del ingreso laboral del cónyuge son mayores para THR "cama adentro"
Los efectos marginales del ingreso laboral del jefe son mayores para THR "cama afuera"
Los ingresos no laborales del cónyuge tienen un efecto positivo mayor en la contratación de THR "cama adentro"</t>
  </si>
  <si>
    <t xml:space="preserve">https://revistas.pucp.edu.pe/index.php/economia/article/view/20908</t>
  </si>
  <si>
    <t xml:space="preserve">El trabajo doméstico y de cuidado no remunerado en los países andinos</t>
  </si>
  <si>
    <t xml:space="preserve">Cornejo, Rebeca</t>
  </si>
  <si>
    <t xml:space="preserve">Población comprendida entre 15 y 64 años</t>
  </si>
  <si>
    <t xml:space="preserve">El propósito de este estudio es analizar la situación del trabajo doméstico y del trabajo de cuidado no remunerado tomando en consideración los resultados de las encuestas de uso de tiempo llevadas a cabo en los países de la subregión andina (Colombia, Ecuador y Perú) y su contribución al PIB</t>
  </si>
  <si>
    <t xml:space="preserve">Carga de trabajo total (suma de trabajo doméstico y trabajo remunerado)</t>
  </si>
  <si>
    <t xml:space="preserve">Efectos
Carga de Trabajo Total Mayor para Mujeres:
Evidencia: Las mujeres trabajan más horas que los hombres, incluso cuando realizan trabajo extradoméstico.
Implicación: Esto indica una sobrecarga de responsabilidades que afecta su bienestar y calidad de vida.
Reducción del Trabajo Doméstico Masculino al Unirse en Pareja:
Evidencia: Los hombres dedican menos tiempo al trabajo doméstico una vez que forman pareja.
Implicación: Refuerza la asignación tradicional de roles de género, donde las mujeres asumen la mayor parte de las tareas del hogar.
Desigualdad en la Distribución del Trabajo Doméstico:
Evidencia: La distribución desigual entre hombres y mujeres en las tareas del hogar interfiere con el progreso hacia la igualdad de género en otros ámbitos.
Implicación: Esto perpetúa la desigualdad y limita las oportunidades de las mujeres en el ámbito laboral y social.
Tensiones y Conflictos de Género:
Evidencia: Las mujeres son las principales responsables del trabajo doméstico y del cuidado, lo que genera tensiones.
Implicación: Estas responsabilidades pueden generar conflictos entre el trabajo remunerado y el trabajo no remunerado, dificultando la conciliación laboral y familiar.
Precarización de Empleos:
Evidencia: La precarización de empleos y la desprotección social son preocupaciones crecientes.
Implicación: Esto afecta a las mujeres más que a los hombres, lo que plantea desafíos significativos para la formulación de políticas públicas que promuevan la equidad y protección social.
Demanda de Servicios Públicos:
Evidencia: La creciente población que envejece y la extensión de la esperanza de vida aumentan la demanda de servicios públicos.
Implicación: Los Estados deben considerar estas demandas en sus políticas para aliviar la carga del trabajo de cuidado que recae en las mujeres.</t>
  </si>
  <si>
    <t xml:space="preserve">https://revistasinvestigacion.unmsm.edu.pe/index.php/discursos/article/view/22112/17801</t>
  </si>
  <si>
    <t xml:space="preserve">UNIVERSIDAD NACIONAL MAYOR DE SAN MARCOS (UNMSM)</t>
  </si>
  <si>
    <t xml:space="preserve">Gender Inequalities in Time Use in Peru: the determination of market oriented work supply and nonmarket work supply</t>
  </si>
  <si>
    <t xml:space="preserve">Marull, Carmen</t>
  </si>
  <si>
    <t xml:space="preserve">Hombres y mujeres del hogar mayores de 12 años.</t>
  </si>
  <si>
    <t xml:space="preserve">El objetivo de este estudio es analizar la asignación del tiempo estimando los determinantes de los diferentes tipos de trabajos y midiendo la contribución no remunerada de mujeres y hombres a la sociedad.</t>
  </si>
  <si>
    <t xml:space="preserve">Uso del tiempo en actividades no remuneradas (17 grupos de actividades como cuidado personal, estudios, cocina, limpieza, etc.)</t>
  </si>
  <si>
    <t xml:space="preserve">Características individuales y del hogar (edad, área urbana/rural, etc.)</t>
  </si>
  <si>
    <t xml:space="preserve">Efectos
Inequidades de Género en la Asignación de Tiempo:
Evidencia: Las mujeres dedican un 70.7% del tiempo total a actividades no de mercado, lo que refleja una especialización en este tipo de trabajo.
Implicación: La contribución económica de las mujeres no se refleja adecuadamente en las cuentas nacionales, lo que invisibiliza su impacto en el bienestar del hogar y la sociedad.
Diferencias en Horas Dedicadas:
Evidencia: Las mujeres dedican, en promedio, 39.7 horas semanales a actividades no de mercado frente a 20.5 horas a actividades de mercado.
Implicación: Esto sugiere una carga desproporcionada de trabajo no remunerado para las mujeres, limitando su tiempo y oportunidades para participar en el mercado laboral.
Impacto de Normas Sociales y Culturales:
Evidencia: La estructura demográfica del hogar y el estado civil influyen significativamente en la división del trabajo y en la asignación de tiempo a actividades no de mercado.
Implicación: Las normas culturales y las expectativas sociales refuerzan los roles de género, afectando la igualdad de oportunidades.
Mecanismos
Factores Educativos y Salariales:
Descripción: La educación y los salarios potenciales afectan la asignación de tiempo a actividades de mercado y no de mercado para ambos géneros, pero con un impacto más fuerte en las mujeres para las actividades no de mercado.
Mecanismo: Las mujeres con mayor educación y potencial salarial aún se ven empujadas hacia el trabajo no remunerado debido a normas culturales.
Estructura Demográfica del Hogar:
Descripción: La presencia de infantes y adultos influye en la división del trabajo.
Mecanismo: Las responsabilidades de cuidado asignadas a las mujeres aumentan su dedicación a actividades no de mercado, mientras que los hombres tienden a concentrarse en el trabajo remunerado.
Estado Civil:
Descripción: Las mujeres casadas tienden a especializarse más en actividades no de mercado, mientras que los hombres casados lo hacen en actividades de mercado.
Mecanismo: El matrimonio refuerza los roles tradicionales de género, donde las mujeres asumen el cuidado del hogar y los hombres son vistos como proveedores.
Acceso a Servicios Básicos:
Descripción: Aunque el acceso a servicios básicos no influye en la asignación de tiempo a actividades de mercado, sí lo hace para actividades no de mercado.
Mecanismo: La falta de servicios puede aumentar la carga de trabajo no remunerado en el hogar, particularmente para las mujeres.
Ubicación y Etnicidad:
Descripción: La ubicación tiene un impacto en las inequidades de género, especialmente entre grupos étnicos como los Ashaninka.
Mecanismo: Las diferencias culturales y económicas entre etnias pueden influir en la percepción y el cumplimiento de los roles de género en la división del trabajo.</t>
  </si>
  <si>
    <t xml:space="preserve">https://www.lai.fu-berlin.de/homepages/marull/Forschung_und_Publikationen/Thesis_Marull_A_Y__2010-2011.pdf</t>
  </si>
  <si>
    <t xml:space="preserve">UNIVERSIDAD LIBRE DE BERLIN</t>
  </si>
  <si>
    <t xml:space="preserve">Duplicado – eliminar</t>
  </si>
  <si>
    <t xml:space="preserve">Sin horario ni salario: La influencia del trabajo de cuidado realizado desde la infancia sobre la construcción de la identidad de las mujeres miembras de una olla común en San Juan de Lurigancho</t>
  </si>
  <si>
    <t xml:space="preserve">Mujeres de la olla común Niños Guerreros de Jesús (San Juan de Lurigancho)</t>
  </si>
  <si>
    <t xml:space="preserve">El propósito del estudio es analizar la influencia del trabajo de cuidados sobre la construcción de la identidad de las mujeres de la olla común Niños Guerreros de Jesús (San Juan de Lurigancho).</t>
  </si>
  <si>
    <t xml:space="preserve">Identidad de las mujeres en la olla común</t>
  </si>
  <si>
    <t xml:space="preserve">Socialización en el rol de cuidadoras</t>
  </si>
  <si>
    <t xml:space="preserve">Sobrecarga de responsabilidades: Estas mujeres asumen una doble carga de cuidado, tanto en sus hogares como en sus comunidades.
Limitaciones socioeconómicas: Cuentan con menores posibilidades de acceder a servicios e infraestructura de cuidados debido a su situación económica.
Empoderamiento colectivo: Las organizaciones de cuidado comunitario se convierten en espacios de resistencia y aprendizaje colectivo para estas mujeres.
Ejercicio de ciudadanía: Estas organizaciones proporcionan canales para ejercer la ciudadanía a mujeres que tradicionalmente han tenido oportunidades limitadas.
Impacto en la identidad: La participación en estas organizaciones influye en la construcción de la identidad subjetiva de las mujeres, desafiando los mandatos tradicionales de feminidad.
Estrategias de supervivencia: Las mujeres desarrollan estrategias individuales y colectivas para mejorar su calidad de vida y la de sus familias en contextos de precariedad.
Subvaloración del trabajo: Su labor de cuidado, tanto en el ámbito familiar como comunitario, es poco valorada a nivel simbólico y monetario.
Enfrentamiento a múltiples desafíos: Estas mujeres se enfrentan a un contexto de precariedad, violencias, y escasez de oportunidades educativas y laborales.
Tensión entre roles asignados y autopercepción: Experimentan una tensión entre los mandatos sociales que las definen como cuidadoras naturales y su propia percepción de sí mismas.
Impacto en la comunidad: A través de su trabajo, estas mujeres proveen servicios esenciales de cuidado en sus comunidades, supliendo en muchos casos la ausencia del Estado.
Estos efectos resaltan cómo las mujeres de sectores populares, a través de su participación en organizaciones de cuidado comunitario, navegan y responden a las condiciones de desigualdad y precariedad, impactando tanto en sus propias vidas como en sus comunidades.</t>
  </si>
  <si>
    <t xml:space="preserve">https://tesis.pucp.edu.pe/repositorio/bitstream/handle/20.500.12404/24183/CUADRA_LAZARTE_MARIA_PAZ_BC_SIN_HORARIO.pdf?sequence=1</t>
  </si>
  <si>
    <t xml:space="preserve">Duplicado del n.° 62. Es el mismo estudio que el n.° 62; esta fila no tiene autor ni año.</t>
  </si>
  <si>
    <t xml:space="preserve">Cuadra, M</t>
  </si>
  <si>
    <t xml:space="preserve">EL TRABAJO DOMÉSTICO REMUNERADO Y LOS CUIDADOS EN EL PERÚ: UN ABORDAJE. EXPLORATORIO DESDE LA PERSPECTIVA DE LAS TRABAJADORAS DEL HOGAR</t>
  </si>
  <si>
    <t xml:space="preserve">Bastidas, María</t>
  </si>
  <si>
    <t xml:space="preserve">Trabajadoras del hogar</t>
  </si>
  <si>
    <t xml:space="preserve">El objetivo es generar información que permita reflexionar sobre la interrelación que se establece entre el trabajo doméstico no remunerado en el Perú y la precariedad del empleo (formal e informal) de las mujeres en las actividades del trabajo doméstico, y las condiciones de vida de las trabajadoras del hogar en el país, para identificar cambios legislativos y líneas de política pública prioritarias frente a este problema</t>
  </si>
  <si>
    <t xml:space="preserve">Condiciones laborales y de vida de las trabajadoras del hogar</t>
  </si>
  <si>
    <t xml:space="preserve">Organización de los cuidados y trabajo doméstico remunerado</t>
  </si>
  <si>
    <t xml:space="preserve">Feminización del Trabajo y Desigualdad:
Evidencia: El trabajo doméstico remunerado está predominantemente ocupado por mujeres, lo que refleja y perpetúa desigualdades de género en el ámbito laboral.
Implicación: Esta feminización contribuye a la desvalorización del TDR, lo que limita el reconocimiento y la mejora de las condiciones laborales.
Naturalización de los Cuidados:
Evidencia: Las trabajadoras tienden a naturalizar su rol en el cuidado, asumiendo que es una responsabilidad innata de las mujeres.
Implicación: Esta percepción puede llevar a la minimización de problemas relacionados con el acceso y cumplimiento de sus derechos laborales, dificultando la denuncia de situaciones de explotación.
Explotación y Condiciones de Trabajo:
Evidencia: A pesar de reconocer situaciones de explotación, violencia y discriminación, estas no son tomadas en cuenta por empleadores y el Estado.
Implicación: La falta de atención a estas situaciones perpetúa un ciclo de invisibilidad y exclusión, donde las trabajadoras no pueden reclamar sus derechos.
Carga de Trabajo y Organización Familiar:
Evidencia: Las jornadas extensas y el trabajo "cama adentro" dificultan la organización de cuidados en sus propias familias.
Implicación: Muchas trabajadoras terminan delegando sus responsabilidades de cuidado a otras mujeres en sus familias, aumentando la carga sobre ellas.
Debilidad de Políticas Públicas:
Evidencia: La falta de ratificación del Convenio 189 de la OIT y la escasa aplicación de normativas laborales crean un entorno precario para las trabajadoras del hogar.
Implicación: Esto limita la visibilidad del TDR en la agenda pública y dificulta el avance hacia la formalización y protección de los derechos laborales.
Necesidad de Visibilización y Formalización:
Evidencia: Se destaca la urgencia de visibilizar el trabajo de cuidados y formalizar el TDR.
Implicación: La formalización del sector y el acceso a la protección social son fundamentales para mejorar las condiciones de vida y laborales de las trabajadoras.
Capacidad de Organización:
Evidencia: La falta de organización y negociación colectiva entre trabajadoras del hogar limita su capacidad para exigir mejores condiciones.
Implicación: Fortalecer la organización de las trabajadoras puede ser clave para lograr cambios en la legislación y en la práctica laboral.</t>
  </si>
  <si>
    <t xml:space="preserve">https://dialnet.unirioja.es/servlet/articulo?codigo=6693471</t>
  </si>
  <si>
    <t xml:space="preserve">UNIVERSIDAD DE SEVILLA</t>
  </si>
  <si>
    <t xml:space="preserve">Trabajo doméstico remunerado en el Perú: Situación y perspectivas en función del Convenio 189 y la Recomendación 201 de la OIT . Documento de trabajo</t>
  </si>
  <si>
    <t xml:space="preserve">La población objetivo de este estudio son las trabajadoras del hogar en Perú, un grupo que comprende más de 450 mil personas, de las cuales el 95,6% son mujeres.</t>
  </si>
  <si>
    <t xml:space="preserve">El propósito principal de este estudio es analizar en profundidad la situación del trabajo doméstico remunerado en Perú. Busca examinar la evolución normativa sobre el trabajo doméstico y visualizar tanto los avances como los desafíos que enfrenta la sociedad peruana para eliminar las desigualdades y la discriminación en este sector laboral.</t>
  </si>
  <si>
    <t xml:space="preserve">Cambios en las condiciones laborales de trabajadoras domésticas (modalidad de trabajo, remuneraciones, derechos laborales)</t>
  </si>
  <si>
    <t xml:space="preserve">Variaciones temporales de tiempo (2004-2010)</t>
  </si>
  <si>
    <t xml:space="preserve">Evolución y diversificación del trabajo doméstico:
El trabajo doméstico remunerado se ha vuelto más diverso y especializado, abarcando servicios como cuidados y servicios básicos e integrales. Ya no se limita necesariamente a un solo empleador por trabajadora.
Mejora en las condiciones socioeconómicas:
Se observa una mejora general en las condiciones de vida de las trabajadoras del hogar en términos de educación, acceso a vivienda y servicios básicos. Esto se atribuye en parte al crecimiento económico del país.
Persistencia de problemas laborales:
A pesar de las mejoras, persisten problemas significativos como:
Falta de contratos escritos
Ausencia de sistemas eficaces de denuncia
Bajos niveles de remuneración
Dificultades para acceder a sistemas de seguridad social
Avances normativos insuficientes:
Aunque ha habido avances en la normatividad para proteger y formalizar el trabajo doméstico, su cumplimiento sigue siendo insuficiente. Se observan mejoras en la formalización del trabajo doméstico de adultos, pero no en la protección del trabajo doméstico infantil y adolescente.
Necesidad de cambios culturales:
El estudio concluye que las políticas públicas deben incorporar componentes orientados a propiciar cambios culturales para mejorar efectivamente el estatus de estas trabajadoras, más allá de solo promover leyes y normativas.
Deficiencias en fiscalización y supervisión:
Se identifica la necesidad de fortalecer las instancias de fiscalización, supervisión y control para el cumplimiento efectivo de las leyes, incluyendo sistemas de incentivos y sanciones.
Inadecuación de los servicios estatales:
Los servicios del Estado para la atención de trabajadoras domésticas no se ajustan a su realidad, resultando en brechas considerables de cobertura en áreas clave.
Importancia de la ratificación del Convenio 189 de la OIT:
La ratificación de este convenio se ve como una oportunidad para mejorar la protección y los derechos de las trabajadoras domésticas, así como para adecuar la normativa nacional a estándares internacionales.
Necesidad de incluir a los empleadores:
El estudio señala como una debilidad la falta de representación y participación de los empleadores en las discusiones sobre la mejora del estatus de las trabajadoras del hogar.</t>
  </si>
  <si>
    <t xml:space="preserve">https://www.ilo.org/sites/default/files/wcmsp5/groups/public/@americas/@ro-lima/documents/publication/wcms_213173.pdf</t>
  </si>
  <si>
    <t xml:space="preserve">ORGANIZACIÓN INTERNACIONAL DEL TRABAJO (OIT)</t>
  </si>
  <si>
    <t xml:space="preserve">Female paid domestic work in Lima Peru: A contemporary case study on informality and changed forms of employment</t>
  </si>
  <si>
    <t xml:space="preserve">Magnusson, Inger</t>
  </si>
  <si>
    <t xml:space="preserve">Trabajadoras domésticas del hogar en el área urbano</t>
  </si>
  <si>
    <t xml:space="preserve">El objetivo de este estudio sobre el trabajo doméstico remunerado feminizado es describir las dos formas actuales de empleo de las empleadas domésticas internas y externas del trabajo doméstico remunerado en Lima Perú.</t>
  </si>
  <si>
    <t xml:space="preserve">Condiciones laborales y de vida de las trabajadoras domésticas</t>
  </si>
  <si>
    <t xml:space="preserve">Modalidad de trabajo doméstico (cama adentro/cama afuera)</t>
  </si>
  <si>
    <t xml:space="preserve">Efectos Encontrados
Vulnerabilidad y Precariedad:
El estudio destaca que las trabajadoras domésticas enfrentan condiciones laborales precarias e informales, lo que contribuye a su vulnerabilidad económica y social.
Devaluación y Discriminación:
Las trabajadoras son objeto de devaluación en el mercado laboral, lo que se traduce en discriminación y en la minimización de su trabajo y contribuciones.
Informalidad Persistente:
Se encuentra que la informalidad es una característica persistente en el sector del trabajo doméstico, afectando tanto las condiciones laborales como las oportunidades de empoderamiento y autonomía de las trabajadoras.
Impacto en la Vida Personal:
La precariedad laboral y la informalidad tienen un impacto significativo en la vida personal de las trabajadoras, afectando su bienestar, autonomía y capacidad para alcanzar independencia económica.
Empoderamiento y Autonomía:
A pesar de las condiciones adversas, el estudio explora cómo algunas trabajadoras buscan formas de empoderamiento y autonomía dentro del contexto del mercado laboral, aunque esto sea limitado por la naturaleza de su trabajo.</t>
  </si>
  <si>
    <t xml:space="preserve">https://su.diva-portal.org/smash/get/diva2:1794525/FULLTEXT01.pdf</t>
  </si>
  <si>
    <t xml:space="preserve">UNIVERSIDAD DE ESTOCOLMO</t>
  </si>
  <si>
    <t xml:space="preserve">Cuenta Satélite del Trabajo Doméstico No Remunerado</t>
  </si>
  <si>
    <t xml:space="preserve">Instituto Nacional de Estadística e Informática (INEI); Ministerio de la Mujer y Poblaciones Vulnerables (MIMP)</t>
  </si>
  <si>
    <t xml:space="preserve">La población objetivo del estudio incluye a todos los hogares en Perú, considerando tanto a las mujeres como a los hombres que realizan trabajo doméstico no remunerado.</t>
  </si>
  <si>
    <t xml:space="preserve">El propósito del estudio presentado por el Ministerio de la Mujer y Poblaciones Vulnerables y el Instituto Nacional de Estadística e Informática es visibilizar y cuantificar el valor del trabajo doméstico no remunerado (TDNR) realizado por mujeres y hombres en el hogar, así como su impacto en la economía nacional. Se busca reconocer la contribución económica de las mujeres, evidenciar la desigualdad en la distribución del trabajo remunerado y no remunerado entre los géneros, y proporcionar datos que sirvan para la formulación de políticas económicas y sociales.</t>
  </si>
  <si>
    <t xml:space="preserve">Bienestar social y económico, medido a través de indicadores como:
Calidad de vida de la población
Reducción de desigualdades de género
Autonomía y dignidad de las mujeres</t>
  </si>
  <si>
    <t xml:space="preserve">Desarrollo e implementación de políticas públicas y normativas internacionales para el reconocimiento del trabajo no remunerado</t>
  </si>
  <si>
    <t xml:space="preserve">Reconocimiento del Trabajo No Remunerado: La investigación resalta la importancia del trabajo doméstico no remunerado, particularmente el realizado por mujeres, como una contribución significativa al bienestar social y económico, aunque no se refleje directamente en el Producto Bruto Interno (PBI).
Impacto en Políticas Públicas: La medición y valoración del trabajo doméstico no remunerado proporciona datos cruciales para informar políticas públicas que busquen mejorar la calidad de vida de la población y abordar desigualdades de género.
Cumplimiento de Normativas Internacionales: El desarrollo de la Cuenta Satélite está alineado con compromisos internacionales y recomendaciones de foros como la Conferencia de Beijing y otras cumbres, que abogan por la visibilidad del trabajo no remunerado y su inclusión en las cuentas nacionales.
Metodología Internacional: La elaboración de cuentas satélite en Perú se basa en metodologías reconocidas a nivel internacional, lo que permite una comparación más amplia con otros países y fomenta un enfoque coherente en la medición de la economía del cuidado.
Necesidad de Cambio en el Enfoque de Medición: Se enfatiza la necesidad de cambiar el enfoque de las cuentas nacionales hacia una medición más integral del bienestar, que incluya la actividad de los hogares y el valor del trabajo no remunerado.
Colaboración Interinstitucional: La creación de esta cuenta implica la colaboración de diversas instituciones, lo que subraya la importancia del trabajo conjunto entre el Estado y la sociedad civil en la promoción de derechos y en la visibilización de temas de género.
Refuerzo de la Autonomía y Dignidad: Reconocer y valorar el trabajo doméstico no remunerado contribuye a reforzar la autonomía y dignidad de las personas, especialmente de las mujeres, en un contexto donde sus contribuciones han sido históricamente invisibilizadas.</t>
  </si>
  <si>
    <t xml:space="preserve">https://www.inei.gob.pe/media/MenuRecursivo/publicaciones_digitales/Est/Lib1358/libro.pdf</t>
  </si>
  <si>
    <t xml:space="preserve">Marco conceptual sobre Cuidados</t>
  </si>
  <si>
    <t xml:space="preserve">Ministerio de la Mujer y Poblaciones Vulnerables</t>
  </si>
  <si>
    <t xml:space="preserve">La población objetivo del estudio son personas en situación de dependencia y las personas cuidadoras, especialmente mujeres, en contextos de corresponsabilidad familiar y social.</t>
  </si>
  <si>
    <t xml:space="preserve">El propósito del estudio es visibilizar y revalorizar el trabajo de cuidados para promover la igualdad de género y fomentar la corresponsabilidad en su distribución.</t>
  </si>
  <si>
    <t xml:space="preserve">Reducción de las desigualdades de género en el trabajo de cuidados, medida por:
Distribución más equitativa del trabajo doméstico entre hombres y mujeres
Disminución del porcentaje del trabajo no remunerado realizado por mujeres
Reducción del impacto económico invisible en el PBI</t>
  </si>
  <si>
    <t xml:space="preserve">Implementación del Sistema Nacional de Cuidados con enfoque de género y sus componentes:
Políticas públicas y normativas
Prestación de servicios públicos
Infraestructura
Políticas de protección social</t>
  </si>
  <si>
    <t xml:space="preserve">Reconocimiento del trabajo de cuidados: Se destaca la importancia de visibilizar y valorar el trabajo de cuidados, tanto remunerado como no remunerado, que históricamente ha recaído principalmente en las mujeres.
Corresponsabilidad en los cuidados: Se resalta la necesidad de que el Estado, el mercado, la comunidad y la familia asuman de manera corresponsable la provisión de cuidados, superando la tradicional división sexual del trabajo.
Desigualdades de género: El trabajo de cuidados sigue siendo una fuente de desigualdad de género, donde las mujeres cargan de manera desproporcionada con las tareas de cuidados, generando una carga insostenible.
Sistema Nacional de Cuidados: La implementación de un Sistema Nacional de Cuidados con enfoque de género es fundamental para reducir las brechas de género y empoderar económica y socialmente a las mujeres.
Impacto de la pandemia en los cuidados: La crisis de la COVID-19 exacerbó las desigualdades preexistentes en el trabajo de cuidados, evidenciando aún más la necesidad de políticas públicas que apoyen a los cuidadores y cuidadoras.
Alineación con los ODS y políticas nacionales: El desarrollo del Sistema Nacional de Cuidados está alineado con el ODS 5 de la Agenda 2030 y la Política Nacional de Igualdad de Género, con el objetivo de reconocer y apoyar los cuidados no remunerados.
Enfoque integral y de derechos humanos: La implementación de este sistema debe incluir un enfoque intercultural, interseccional e intergeneracional, abordando las necesidades de diversos grupos en situación de dependencia.</t>
  </si>
  <si>
    <t xml:space="preserve">https://oig.cepal.org/sites/default/files/2021_dtmcc_per.pdf</t>
  </si>
  <si>
    <t xml:space="preserve">Prevalencia y factores de riesgo</t>
  </si>
  <si>
    <t xml:space="preserve">Violencias contra las mujeres: la necesidad de un doble plural</t>
  </si>
  <si>
    <t xml:space="preserve">Hernández, Wilson</t>
  </si>
  <si>
    <t xml:space="preserve">La población objetivo de este estudio abarca una amplia gama de mujeres en el Perú, reflejando un enfoque interseccional. Incluye mujeres víctimas de violencia en relaciones de pareja, mujeres de diferentes edades, etnias, clases sociales y orientaciones sexuales, víctimas de acoso sexual callejero, mujeres en las fuerzas armadas, mujeres amazónicas (incluyendo comunidades ticuna y awajún), mujeres afrodescendientes e indígenas en contextos históricos, mujeres representadas en medios de comunicación y literatura, jóvenes usuarias de redes sociales, y trabajadoras domésticas</t>
  </si>
  <si>
    <t xml:space="preserve">Abordar y visibilizar la diversidad de violencias que afectan a las mujeres en el Perú desde un enfoque interseccional, reconociendo que existen diferentesformas de violencia y que no todas las mujeres son objeto de las mismas modalidades de violencia, ni con la misma frecuencia e intensidad.</t>
  </si>
  <si>
    <t xml:space="preserve">Diferentes manifestaciones de violencias contra las mujeres:
Física/sexual
Psicológica
Económica
Institucional
Cultural</t>
  </si>
  <si>
    <t xml:space="preserve">Estructura y patrones sexistas en las relaciones de género, manifestados en:
Instituciones (comunidad, Estado, medios)
Espacios (hogar, calle, entidades estatales)
Sistema patriarcal</t>
  </si>
  <si>
    <t xml:space="preserve">Reproducción y refuerzo de roles tradicionales de género.
Mayor responsabilidad sobre las mujeres para el éxito de la pareja y la familia.
Promoción de conductas permisivas en mujeres que sufren violencia conyugal.
Invisibilización de factores sociales, económicos e ideológicos que complican la separación de parejas agresoras.
Falta de interpelación a los hombres para cambiar conductas violentas.</t>
  </si>
  <si>
    <t xml:space="preserve">https://www.grade.org.pe/wp-content/uploads/LibroGRADEViolenciaSMujereS.pdf</t>
  </si>
  <si>
    <t xml:space="preserve">GRUPO PARA EL ANÁLISIS DE DESARROLLO (GRADE)</t>
  </si>
  <si>
    <t xml:space="preserve">OVERCOMING EQUITABLY: TACKLING GENDER-BASED VIOLENCE (VBG) IN PERU IN 2022 AND BEYOND</t>
  </si>
  <si>
    <t xml:space="preserve">McGinnis, Emily</t>
  </si>
  <si>
    <t xml:space="preserve">La población objetivo son las mujeres peruanas que experimentan violencia de género, con énfasis en grupos específicos desproporcionadamente afectados según el análisis de la ENDES 2021</t>
  </si>
  <si>
    <t xml:space="preserve">El estudio busca entender las desigualdades persistentes en cómo la VBG afecta a diferentes grupos de mujeres en Perú, con el objetivo de informar políticas y programas más efectivos y equitativos para combatir este problema.</t>
  </si>
  <si>
    <t xml:space="preserve">Tasas e inequidades de violencia de género en el Perú, medidas a través de:
Tasas nacionales de VG de la ENDES 2021
Brechas en el impacto entre diferentes poblaciones
Cambios relacionados con la pandemia en la incidencia de violencia de género</t>
  </si>
  <si>
    <t xml:space="preserve">Inversión en prevención de la VG y respuestas políticas/programáticas, que incluyen:
Programas nacionales de prevención
Reformas políticas
Innovaciones para abordar la violencia de género</t>
  </si>
  <si>
    <t xml:space="preserve">Impacto desproporcionado en comunidades marginadas: Las comunidades más marginadas del país siguen siendo las más vulnerables a la VBG.
Persistencia de actitudes patriarcales y sesgos: Estas actitudes y sesgos continúan siendo un obstáculo para eliminar la VBG.
Impunidad: La falta de castigo a los perpetradores sigue siendo un problema.
Desafíos para el desarrollo: La VBG representa un obstáculo para alcanzar los Objetivos de Desarrollo Sostenible (ODS) de la ONU para 2030.
Impacto en la prosperidad nacional: La eliminación de la VBG se considera necesaria para la prosperidad futura de Perú
.
Efectos en mujeres y niñas: El futuro de las mujeres y niñas peruanas depende de la eliminación de la VBG.
Necesidad de cambios en la percepción pública: Se requieren cambios importantes en la percepción pública para que Perú pueda estar libre de VBG.</t>
  </si>
  <si>
    <t xml:space="preserve">https://ecommons.cornell.edu/server/api/core/bitstreams/07c289ba-3a09-4d50-a81b-e6c051c9521a/content</t>
  </si>
  <si>
    <t xml:space="preserve">UNIVERSIDAD DE CORNELL</t>
  </si>
  <si>
    <t xml:space="preserve">Gender Differences in the Factors Associated with Alcohol Binge Drinking: A Population-Based Analysis in a Latin American Country</t>
  </si>
  <si>
    <t xml:space="preserve">Hernández, Akram; Chacón, Horacio; Vargas, Rodrigo; Grendas, Leandro; Bendezu, Guido</t>
  </si>
  <si>
    <t xml:space="preserve">Población adulta peruana de 18 años o más, con representatividad nacional y regional, incluyendo tanto áreas urbanas como rurales, que pudieron proporcionar información completa sobre su consumo de alcohol y otros factores de salud relevantes para el estudio.</t>
  </si>
  <si>
    <t xml:space="preserve">El objetivo principal del estudio era determinar los factores asociados con el consumo excesivo de alcohol (binge drinking) en la población adulta peruana, analizando estos factores según el género. El estudio buscaba llenar un vacío en la investigación, ya que se menciona que la investigación sobre los factores de riesgo del consumo excesivo de alcohol según el género es limitada en Perú.</t>
  </si>
  <si>
    <t xml:space="preserve">Consumo excesivo de alcohol en los últimos 30 días</t>
  </si>
  <si>
    <t xml:space="preserve">Características sociodemográficas (edad, nivel educativo, quintil de riqueza, autoidentificación étnica, estado civil)
Características de salud (seguro de salud, tabaquismo, sobrepeso/obesidad)</t>
  </si>
  <si>
    <t xml:space="preserve">Diferencias por sexo:
Prevalencia general:
Hombres: 32.6% (IC 95%: 31.4–33.8)
Mujeres: 12.8% (IC 95%: 12.0–13.6)
Los hombres presentaron un patrón de consumo más alto en comparación con las mujeres (aproximadamente 3 veces más).
Factores asociados:
Factores comunes a ambos sexos:
Edad
Quintil de riqueza
Seguro de salud
Fumar en los últimos 30 días
Sobrepeso y obesidad
Factores específicos para hombres:
Nivel educativo
Factores específicos para mujeres:
Auto-identificación étnica
Estado civil
El estudio enfatiza que estos factores tienen un impacto diferencial según el género, lo que sugiere que los mecanismos subyacentes al consumo excesivo de alcohol pueden variar entre hombres y mujeres en la población peruana. Esta información es crucial para el desarrollo de intervenciones específicas de género para abordar el consumo excesivo de alcohol en Perú.</t>
  </si>
  <si>
    <t xml:space="preserve">https://cris.usil.edu.pe/es/publications/gender-differences-in-the-factors-associated-with-alcohol-binge-d</t>
  </si>
  <si>
    <t xml:space="preserve">UNIVERSIDAD SAN IGNACIO DE LOYOLA (USIL)</t>
  </si>
  <si>
    <t xml:space="preserve">Violencia sexual</t>
  </si>
  <si>
    <t xml:space="preserve">Characteristics and Factors Associated With Age and Gender Among Peruvian Children and Adolescents Who Are Victims of Sexual Violence</t>
  </si>
  <si>
    <t xml:space="preserve">Roman, Victor; Roman, Angela; Galeas, Maryorie</t>
  </si>
  <si>
    <t xml:space="preserve">Casos de violencia sexual donde la víctima era menor de 18 años y de nacionalidad peruana.</t>
  </si>
  <si>
    <t xml:space="preserve">Identificar las características y factores asociados al género y edad de las víctimas y del agresor.</t>
  </si>
  <si>
    <t xml:space="preserve">Género de la víctima
Edad de la víctima
Edad del agresor</t>
  </si>
  <si>
    <t xml:space="preserve">Área de residencia (urbana)
Consumo de alcohol
Relación con el agresor (padre/padrastro)
Antecedentes de violación</t>
  </si>
  <si>
    <t xml:space="preserve">Efectos:
Mayor proporción de víctimas femeninas que masculinas.
Los menores de 18 años representan el grupo de edad con mayor número de casos de violación u otras formas de agresión sexual.
Las víctimas masculinas tienden a ser más jóvenes y experimentan agresión sexual a una edad más temprana que las víctimas femeninas.
Mecanismos:
Relación con el agresor:
Para víctimas femeninas: los padres y padrastros son más frecuentemente identificados como agresores.
Para víctimas masculinas: los tíos y primos son más frecuentemente implicados.
Consumo de alcohol por parte del agresor:
Menor proporción de consumo de alcohol en casos de agresión sexual contra víctimas masculinas.
Edad y relación con el agresor:
Aproximadamente la mitad de las víctimas tienen una relación familiar con el agresor.
La edad promedio del agresor es mayor cuando existe un vínculo emocional.
Vulnerabilidad por edad:
Las víctimas extremadamente jóvenes, particularmente niños, son más susceptibles a pedófilos.
Subregistro de casos:
Posible subregistro de víctimas masculinas debido a sesgos de la víctima y su entorno.
Los menores de 18 años tienden a permanecer en silencio y no denunciar actos violentos, especialmente si son niños pequeños.
Factores familiares:
La estructura familiar "tradicional" puede ocultar potenciales agresores, dificultando la prevención.
Es importante notar que el estudio reconoce limitaciones, como el sesgo de selección debido a que solo se incluyen casos denunciados, y la necesidad de más investigación para establecer relaciones causales entre las variables identificadas.</t>
  </si>
  <si>
    <t xml:space="preserve">https://journals.sagepub.com/doi/10.1177/2333794X231190526</t>
  </si>
  <si>
    <t xml:space="preserve">SAGE JOURNALS</t>
  </si>
  <si>
    <t xml:space="preserve">Mujeres peruanas entre 15 y 25 años edad</t>
  </si>
  <si>
    <t xml:space="preserve">Determinar los factores socioeconómicos asociados con el comportamiento sexual de las mujeres peruanas entre 15 y 25 años de edad.</t>
  </si>
  <si>
    <t xml:space="preserve">Comportamiento sexual:
Edad de iniciación sexual
Número de parejas sexuales
Uso de anticonceptivos</t>
  </si>
  <si>
    <t xml:space="preserve">Área de origen
Estado civil
Nivel educativo
Estado laboral
Nivel socioeconómico
Consumo de alcohol de la pareja</t>
  </si>
  <si>
    <t xml:space="preserve">Mecanismo: Inicio tardío de relaciones sexuales
Efecto: Actúa como factor protector, prediciendo mejor calidad de vida en términos de estabilidad familiar, académica, económica y laboral.
Mecanismo: Empoderamiento socioeconómico y educativo de la mujer
Efectos:
mayor probabilidad de tener más parejas sexuales
Mayor libertad para tomar decisiones sobre su vida sexual
Mecanismo: Mayor número de parejas sexuales
Efecto: Mayor riesgo de sufrir violencia de pareja
Mecanismo: Condiciones laborales y educativas
Efectos:
Mujeres que trabajan tienen mayor probabilidad de usar anticonceptivos
Mujeres con solo educación primaria tienen menor probabilidad de usar anticonceptivos
Mecanismo: Consumo de alcohol de la pareja
Efectos:
Mujeres cuyas parejas no beben alcohol tienen mayor probabilidad de usar anticonceptivos
Mujeres cuyas parejas se alcoholizan con frecuencia tienen menor probabilidad de usar anticonceptivos
Mecanismo: Violencia de pareja
Efecto:
Mujeres víctimas de violencia tienen menor probabilidad de usar anticonceptivos
Mecanismo:
Edad de primera unión
Efecto: Mujeres que se unieron a una pareja a mayor edad tienen menor probabilidad de usar anticonceptivos
Mecanismo:
Múltiples uniones
Efecto: Mujeres con más de una unión tienen menor probabilidad de usar anticonceptivos
Mecanismo: Factores familiares (apego parental, comunicación familiar, monitoreo de padres y hermanos mayores)
Efecto: Actúan como factores protectores en la conducta sexual de los adolescentes
Mecanismo: Condiciones socioeconómicas desfavorables
Efectos: Exposición a diversos factores de riesgo como falta de acceso a educación superior, trabajo inestable y violencia de pareja, que influyen en el comportamiento sexual.</t>
  </si>
  <si>
    <t xml:space="preserve">Duplicado del n.° 21. Es el mismo estudio que el n.° 21, pero clasificado en Violencia contra las mujeres e integrantes del grupo familiar. Decide en qué temática queda y elimina la otra fila.</t>
  </si>
  <si>
    <t xml:space="preserve">Feminicidio</t>
  </si>
  <si>
    <t xml:space="preserve">Femicides and Victim's age-Associated Factors in Peru</t>
  </si>
  <si>
    <t xml:space="preserve">Quispe, Antonio; Roman, Victor; Cornelio, Deysy; Florez, Yohaida; Romero, Abigail; Vargas, Lucia; Sedano, Claudia</t>
  </si>
  <si>
    <t xml:space="preserve">La población objetivo son las víctimas de feminicidio y sus perpetradores en Perú, específicamente los 166 casos reportados en 24 regiones del país durante 2019.</t>
  </si>
  <si>
    <t xml:space="preserve">El propósito del estudio es describir la tendencia de los feminicidios en Perú durante 2010-2019 y caracterizar a las víctimas y perpetradores de estos crímenes, enfocándose particularmente en los casos reportados en 2019.</t>
  </si>
  <si>
    <t xml:space="preserve">La edad de la víctima</t>
  </si>
  <si>
    <t xml:space="preserve">La edad del perpetrador
El historial de pareja (si hubo una relación previa entre víctima y perpetrador)</t>
  </si>
  <si>
    <t xml:space="preserve">Los factores asociados mencionados incluyen: edad de la víctima y del perpetrador, historial de pareja, área de ocurrencia, método de asesinato, estado de maternidad de la víctima, situación laboral del perpetrador y consumo de facilitadores. El análisis de regresión encontró una asociación entre la edad de la víctima, la edad del perpetrador y su historial de pareja.</t>
  </si>
  <si>
    <t xml:space="preserve">https://journals.sagepub.com/doi/abs/10.1177/15404153231163324</t>
  </si>
  <si>
    <t xml:space="preserve">Violencia en relación de pareja</t>
  </si>
  <si>
    <t xml:space="preserve">Intimate partner violence against reproductive-age women and associated factors in Peru: evidence from national surveys, 2015–2017</t>
  </si>
  <si>
    <t xml:space="preserve">Burgos, Ruth; Soriano, Anderson; Bendezu, Guido; Urrunaga, Diego; Toro, Carlos; Benites, Vicente</t>
  </si>
  <si>
    <t xml:space="preserve">Mujeres en edad fértil de 15 a 49 años</t>
  </si>
  <si>
    <t xml:space="preserve">El propósito de este estudio fue evaluar los factores asociados a la violencia de pareja contra mujeres en edad reproductiva en Perú.</t>
  </si>
  <si>
    <t xml:space="preserve">IPV (Intimate Partner Violence / Violencia de pareja íntima)
Medida como variable dicotómica (presencia/ausencia de violencia)
Incluye tres tipos: física, psicológica y sexual</t>
  </si>
  <si>
    <t xml:space="preserve">Variables exógenas (X):
Edad de la mujer
Estado civil (viviendo con pareja o casada)
Región geográfica (costa, Lima, sierra, selva)
Nivel educativo de la mujer
Nivel educativo de la pareja
Tenencia de hijos
Hábito de consumo de alcohol de la pareja
Historia de violencia del padre contra la madre
Ubicación geográfica (costa, sierra, selva)</t>
  </si>
  <si>
    <t xml:space="preserve">Los factores asociados con la violencia de pareja íntima (IPV, por sus siglas en inglés) mencionados son:
Edad de la mujer (menor frecuencia en mujeres más jóvenes)
Estado de convivencia (menor frecuencia en mujeres que viven con sus parejas íntimas o están casadas)
Región de residencia (menor frecuencia en regiones costeras diferentes a Lima; mayor frecuencia en las tierras altas o la selva)
Nivel educativo de la mujer (mayor frecuencia en mujeres con bajo nivel educativo)
Nivel educativo de la pareja (mayor frecuencia con parejas de bajo nivel educativo)
Tener hijos (mayor frecuencia en mujeres con hijos)
Consumo de alcohol por parte de la pareja (mayor frecuencia)
Historia de violencia del padre contra la madre (mayor frecuencia en mujeres con este antecedente)
Estos factores son identificados como marcadores útiles para reconocer los grupos más vulnerables y para implementar intervenciones destinadas a disminuir la prevalencia de la violencia de pareja íntima.</t>
  </si>
  <si>
    <t xml:space="preserve">https://www.cell.com/heliyon/fulltext/S2405-8440(21)01581-4</t>
  </si>
  <si>
    <t xml:space="preserve">HELIYON</t>
  </si>
  <si>
    <t xml:space="preserve">Violence in pandemic times: The dynamic relationship between COVID-19 and intimate partner violence</t>
  </si>
  <si>
    <t xml:space="preserve">Hernández, Wilson; Cozzubo, Ángelo; Aguilar, José; Agüero, Jorge; Mendoza, José</t>
  </si>
  <si>
    <t xml:space="preserve">Las personas que llamaron a la línea nacional de ayuda para víctimas de violencia doméstica (Línea 100) en Perú durante los primeros diez meses de la pandemia de COVID-19, que reportaron casos de violencia de pareja íntima.</t>
  </si>
  <si>
    <t xml:space="preserve">Examinar los cambios en la violencia de pareja íntima (IPV) durante los primeros diez meses de la pandemia de COVID-19 en Perú, analizando las variaciones en el número de llamadas recibidas por la línea nacional de ayuda para víctimas de violencia doméstica, Línea 100.</t>
  </si>
  <si>
    <t xml:space="preserve">Número de llamadas recibidas por la línea de ayuda nacional "Línea 100"
Desglosado por tipo de violencia:
Llamadas por violencia psicológica
Llamadas por violencia física
Llamadas por violencia sexual</t>
  </si>
  <si>
    <t xml:space="preserve">Tiempo/período (durante los primeros 10 meses de la pandemia)
Historial previo de violencia
Consumo de alcohol o droga</t>
  </si>
  <si>
    <t xml:space="preserve">El estudio encuentra los siguientes efectos en relación a la violencia de pareja íntima (IPV) durante el confinamiento por COVID-19 en Perú:
Variaciones no lineales en las llamadas de IPV durante el confinamiento.
Variación por tipo de violencia:
La violencia psicológica mostró la variación más significativa.
La violencia física tuvo la segunda variación más importante.
No se identificaron cambios significativos en la violencia sexual.
Mecanismos subyacentes importantes:
Historial previo de violencia.
Consumo de alcohol o drogas.
Estos hallazgos sugieren que las llamadas a la línea de ayuda por diferentes tipos de violencia de pareja íntima cambiaron de manera desigual durante el confinamiento, con efectos más pronunciados en la violencia psicológica y física. Además, el estudio identifica factores de riesgo clave que parecen influir en estos cambios.</t>
  </si>
  <si>
    <t xml:space="preserve">https://doi.org/10.1111/rode.13059</t>
  </si>
  <si>
    <t xml:space="preserve">Wiley Online Library</t>
  </si>
  <si>
    <t xml:space="preserve">Violence against women in Peru as of 2022; An ecological model.</t>
  </si>
  <si>
    <t xml:space="preserve">Las mujeres en Perú, específicamente aquellas que son objeto de violencia de género. El estudio abarca todo el país, analizando la situación en los diferentes departamentos de Perú utilizando datos de las encuestas ENARES, ENAHO y ENDES publicadas por el Instituto Nacional de Estadística e Informática.</t>
  </si>
  <si>
    <t xml:space="preserve">Analizar la violencia contra las mujeres en Perú, evaluando empíricamente el modelo ecológico e identificando los departamentos del país con mayor incidencia en los cuatro niveles del modelo: individual, relaciones personales, comunitario y social.</t>
  </si>
  <si>
    <t xml:space="preserve">Nivel de violencia contra la mujer en los departamentos del Perú</t>
  </si>
  <si>
    <t xml:space="preserve">Factores individuales:
Antecedentes de violencia durante la infancia
Factores de relaciones personales:
Control del hombre sobre la mujer
Factores de comunidad:
Falta de empleo
Factores de sociedad:
Normas que propician la desigualdad de género
Normas que toleran la violencia contra la mujer</t>
  </si>
  <si>
    <t xml:space="preserve">Nivel individual: Puno tuvo la mayor incidencia (90%), especialmente en nivel de ingresos.
Relaciones personales: Cusco tuvo la mayor incidencia (90%), con alta puntuación en ambiente familiar violento.
Nivel comunitario: Callao tuvo la mayor incidencia (90%), especialmente en desempleo.
Nivel sociedad: Cajamarca tuvo la mayor incidencia (90%), con alta puntuación en falta de acceso a medios de comunicación.
En general, Puno y Cajamarca mostraron la mayor incidencia de factores de riesgo en todos los niveles, mientras que Lambayeque e Ica mostraron la menor incidencia.</t>
  </si>
  <si>
    <t xml:space="preserve">https://cdn.www.gob.pe/uploads/document/file/5401851/4831494-la-violencia-contra-la-mujer-en-el-peru-al-2022-un-modelo-ecologico.pdf?v=1699632787</t>
  </si>
  <si>
    <t xml:space="preserve">C.2 Análisis multivariado</t>
  </si>
  <si>
    <t xml:space="preserve">Prevalence of Violence against Women among Different Ethnic Groups in Peru</t>
  </si>
  <si>
    <t xml:space="preserve">Olson, Eric; Pantzer, Robert; Velez-Grajales, Viviana; Wolfenzon, Denisse</t>
  </si>
  <si>
    <t xml:space="preserve">Mujeres peruanas de entre 15 y 49 años. Específicamente, el estudio se basa en una muestra representativa a nivel nacional de más de 75,000 mujeres encuestadas entre 2003 y 2012.</t>
  </si>
  <si>
    <t xml:space="preserve">Explorar mediante un análisis cuantitativo cómo las tasas de violencia contra la mujer en Perú varían por grupo étnico y a lo largo del tiempo, utilizando una tipología basada en los antecedentes lingüísticos de las mujeres para medir la etnicidad.</t>
  </si>
  <si>
    <t xml:space="preserve">Tasas de violencia contra la mujer (incluyendo violencia física severa y sexual)</t>
  </si>
  <si>
    <t xml:space="preserve">Grupo étnico-lingüístico (categorizado en tres grupos):
Grupo que habla lengua indígena sin castellano
Grupo castellano antiguo (castellano desde la niñez)
Grupo castellano reciente (lengua indígena en niñez, castellano actual)
Tiempo (período 2003-2012)
El estudio analiza cómo la violencia contra la mujer (Y) varía en función de:
La pertenencia a diferentes grupos étnico-lingüísticos
El período temporal</t>
  </si>
  <si>
    <t xml:space="preserve">Efectos:
Mayor tasa de violencia en mujeres con "castellano reciente":
Este grupo experimenta tasas más altas en todos los indicadores de violencia.
La diferencia es más pronunciada en violencia física severa y sexual (22% y 25% respectivamente por encima de las mujeres de "castellano antiguo").
Persistencia de las diferencias en el tiempo:
A pesar de una caída en las tasas de violencia global, las diferencias entre grupos étnicos se mantienen constantes.
Insuficiencia de los enfoques territoriales actuales:
Los programas basados en aproximación territorial no logran cubrir adecuadamente a las poblaciones en mayor riesgo.
Mecanismos detrás:
Transición lingüística y cultural:
Las mujeres en "transición" (que pasaron de hablar lenguas indígenas a castellano) parecen ser más vulnerables a la violencia.
Migración:
Se sugiere que las mujeres migrantes tienen mayor probabilidad de pertenecer al grupo de "castellano reciente" y, por lo tanto, estar en mayor riesgo.
Factores socioeconómicos y demográficos:
El estudio indica que los resultados se mantienen incluso al controlar por estas variables, sugiriendo que la etnicidad y la transición lingüística tienen un efecto independiente.
Insuficiencia de campañas sobre derechos de la mujer:
Se señala que estas campañas, aunque necesarias, no son suficientes para reducir la violencia si no se trabaja también con las parejas de las mujeres.
Entorno social:
Se sugiere la importancia de trabajar no solo con las mujeres en riesgo, sino también con su entorno social.
Estos hallazgos apuntan a la necesidad de enfoques más específicos y multidimensionales para abordar la violencia contra la mujer, considerando factores étnicos, lingüísticos y de transición cultural en el diseño de intervenciones.</t>
  </si>
  <si>
    <t xml:space="preserve">https://publications.iadb.org/en/prevalence-violence-against-women-among-different-ethnic-groups-peru</t>
  </si>
  <si>
    <t xml:space="preserve">BANCO INTERAMERICANO DE DESARROLLO (BID)</t>
  </si>
  <si>
    <t xml:space="preserve">The impact of the COVID-19 pandemic on gender-based violence and physical violence among women in Peru</t>
  </si>
  <si>
    <t xml:space="preserve">Quispe, Antonio; Vargas, Lucía; Sotelo, Manuel; Rojas, Yalisse; Sabaduche, Jose; Navarro, Cleyber</t>
  </si>
  <si>
    <t xml:space="preserve">Mujeres víctimas de violencia de género en Perú. El estudio analizó 588,587 casos de mujeres víctimas de GBV entre 2017 y 2021.</t>
  </si>
  <si>
    <t xml:space="preserve">El propósito del estudio es evaluar el impacto de la pandemia de la enfermedad por coronavirus 2019 (COVID-19) en la incidencia de violencia de género en Perú, determinar la prevalencia de violencia física y sus factores asociados entre las víctimas de violencia de género.</t>
  </si>
  <si>
    <t xml:space="preserve">Primer análisis (Series de tiempo)
Incidencia semanal de violencia basada en género (GBV)
Segundo análisis (Regresión de Poisson):
Variable endógena (Y):
Prevalencia de violencia física</t>
  </si>
  <si>
    <t xml:space="preserve">Primer análisis
Tiempo (período COVID-19)
Segundo análisis (Regresión de Poisson):
Características del agresor:
Nivel educativo
Edad (&lt;40 años)
Situación laboral (trabajo remunerado)
Características de la víctima:
Edad (&lt;40 años)
Ciudadanía (no peruana)
Reporte previo de violencia</t>
  </si>
  <si>
    <t xml:space="preserve">Impacto de la pandemia de COVID-19: El estudio señala que la pandemia redujo significativamente la carga de GBV en 2020-2021. Aunque no se especifica el mecanismo, esto podría estar relacionado con las medidas de confinamiento y distanciamiento social.
Cambios en las características de los casos, víctimas y agresores a lo largo del tiempo: El estudio menciona que estos cambios ofrecen nuevas oportunidades para implementar intervenciones. Esto sugiere que los mecanismos de la violencia pueden estar evolucionando con el tiempo.
Factores asociados a la violencia física: El estudio identifica varios factores asociados con la prevalencia de violencia física, como la educación del agresor, la edad de la víctima y el agresor, el empleo del agresor, el historial de violencia previa y la nacionalidad de la víctima. Estos factores podrían ser parte de los mecanismos que influyen en la ocurrencia de violencia física.
Características socioeconómicas y demográficas: El estudio describe
características de las víctimas y los agresores (como estado civil, área de residencia, nivel educativo, situación laboral) que podrían estar relacionadas con los mecanismos de la violencia de género.</t>
  </si>
  <si>
    <t xml:space="preserve">https://gatesopenresearch.org/articles/6-102</t>
  </si>
  <si>
    <t xml:space="preserve">GATES OPEN RESEARCH</t>
  </si>
  <si>
    <t xml:space="preserve">Madres e hijas maltratadas: la transmisión intergeneracional de la violencia doméstica en el Perú</t>
  </si>
  <si>
    <t xml:space="preserve">Mora, Cesar</t>
  </si>
  <si>
    <t xml:space="preserve">Mujeres en Perú, con un enfoque particular en aquellas que han experimentado violencia doméstica o provienen de hogares con antecedentes de violencia.</t>
  </si>
  <si>
    <t xml:space="preserve">Revisar empíricamente el planteamiento de que la violencia doméstica persiste a lo largo de varias generaciones en una misma familia, basándose en la investigación de Ribero y Sánchez (2005) para el caso colombiano, pero aplicado al contexto peruano.</t>
  </si>
  <si>
    <t xml:space="preserve">Maltrato en el hogar materno durante la adolescencia: Variable dicotómica que toma el valor 1 si la mujer fue víctima de maltrato en su hogar materno durante su adolescencia y 0 si no lo fue
Testigo de violencia en el hogar materno: Variable dicotómica que toma el valor 1 si la mujer vio o sabe que su padre agredía físicamente a su madre y 0 en caso contrario.</t>
  </si>
  <si>
    <t xml:space="preserve">Una variable dicotómica que toma el valor 1 si la mujer reporta haber sido víctima de maltrato (se construirá una variable para cada tipo de agresión: psicológica, física y sexual).</t>
  </si>
  <si>
    <t xml:space="preserve">Efectos encontrados:
Las mujeres provenientes de hogares donde ella y su madre eran agredidas tienen un 66% de probabilidades de sufrir algún tipo de maltrato por parte de su pareja.
Las mujeres provenientes de hogares pacíficos tienen un 38% de probabilidades de sufrir maltrato por parte de su pareja.
El efecto de la transmisión intergeneracional de la violencia es más pronunciado en mujeres de cohortes más antiguas y con limitado acceso a la información en su ámbito de residencia.
Mecanismos detrás de estos efectos:
Transmisión intergeneracional de la violencia: El haber vivido en un hogar materno violento durante la infancia y adolescencia es un determinante importante de la violencia en la vida marital.
Limitación del desarrollo personal: Las víctimas que conviven en hogares violentos desde su infancia ven limitadas sus posibilidades de desarrollo personal a lo largo de su vida, así como las de su descendencia.
Factores contextuales: El estudio utilizó un análisis de regresión de probabilidad controlado por variables asociadas a:
Características personales de la encuestada
Características culturales
Características del entorno de residencia
Acceso a la información: El limitado acceso a la información en el ámbito de residencia parece exacerbar el efecto de la transmisión intergeneracional de la violencia.
Estereotipos de género: El estudio sugiere que los estereotipos sobre los roles de género en la familia y sociedad contribuyen a la persistencia de la violencia doméstica.
El estudio concluye que es necesario reforzar las intervenciones de prevención basadas en la promoción de los derechos de la mujer, considerando las características particulares identificadas, para romper con los estereotipos de género y fortalecer las redes de protección social.</t>
  </si>
  <si>
    <t xml:space="preserve">https://www.ssoar.info/ssoar/handle/document/56510</t>
  </si>
  <si>
    <t xml:space="preserve">CONSEJO LATINOAMERICANO DE CIENCIAS SOCIALES (CLACSO)</t>
  </si>
  <si>
    <t xml:space="preserve">Cooperative Decision‐Making and Intimate Partner Violence in Peru</t>
  </si>
  <si>
    <t xml:space="preserve">Svec, Joseph; Andic, Tanja</t>
  </si>
  <si>
    <t xml:space="preserve">Mujeres peruanas en relaciones de pareja entre 2005-2012.</t>
  </si>
  <si>
    <t xml:space="preserve">El estudio tiene como objetivo evaluar los factores de riesgo asociados con la violencia de pareja íntima (VPI) en Perú, utilizando marcos teóricos de empoderamiento y género.</t>
  </si>
  <si>
    <t xml:space="preserve">Violencia física moderada en los últimos 12 meses
Violencia física severa en los últimos 12 meses
Variable categórica tricotómica:
0 = No experimentó violencia física
1 = Violencia física moderada
2 = Violencia física severa</t>
  </si>
  <si>
    <t xml:space="preserve">Factores individuales de la mujer:
Nivel educativo
Menos que primaria (categoría de referencia)
Primaria
Secundaria
Superior a secundaria
Condición laboral
No trabaja
Trabaja en casa
Trabaja fuera de casa
Educación relativa al esposo/pareja
Menos educación que su pareja (categoría de referencia)
Igual educación que su pareja
Más educación que su pareja
Ingresos relativos al esposo/pareja
Gana menos que su pareja (categoría de referencia)
Gana lo mismo que su pareja
Gana más que su pareja
Factores de toma de decisiones en el hogar (dinámica de género):
Decisiones autónomas de la mujer (cantidad de veces que decide sola)
Decisiones conjuntas con su pareja (cantidad de veces que deciden juntos)
Decisiones tomadas solo por la pareja (No se incluye en el modelo por colinearidad con las otras dos categorías)</t>
  </si>
  <si>
    <t xml:space="preserve">Educación: Las mujeres con los niveles más altos de educación tienen menos probabilidades de reportar violencia.
Empleo: Las mujeres que trabajan, especialmente fuera del hogar, tienen muchas más probabilidades de experimentar violencia.
Ingresos relativos: Las mujeres peruanas cuyos ingresos y niveles de educación superan los de sus parejas tienen más probabilidades de experimentar violencia tanto moderada como severa.
Toma de decisiones conjunta: Las mujeres en hogares cooperativos, medido por el número de decisiones domésticas tomadas en conjunto, tienen significativamente menos probabilidades de experimentar violencia física.
Interacción entre ingresos y toma de decisiones: El riesgo adicional de violencia moderada por ganar más que la pareja masculina se reduce con cada decisión adicional tomada conjuntamente.
Severidad de la violencia: La magnitud de las asociaciones de toma de decisiones conjuntas es dos veces mayor para la violencia severa que para la violencia moderada.
Caso especial: Las mujeres que ganan más que sus parejas pero no toman decisiones conjuntamente constituyen un grupo de alto riesgo distintivo para la violencia moderada.</t>
  </si>
  <si>
    <t xml:space="preserve">https://pmc.ncbi.nlm.nih.gov/articles/PMC5898391/</t>
  </si>
  <si>
    <t xml:space="preserve">PubMed Central</t>
  </si>
  <si>
    <t xml:space="preserve">Gender differences in sex-related alcohol expectancies in young adults from a peri-urban area in Lima, Peru</t>
  </si>
  <si>
    <t xml:space="preserve">Gálvez, Juan; Paz, Valerie; Herrera, Phabiola; DeLea, Suzanne; Gilman, Robert</t>
  </si>
  <si>
    <t xml:space="preserve">Hombres y mujeres de 18 a 30 años de edad residentes en un barrio marginal periurbano de Lima, Perú</t>
  </si>
  <si>
    <t xml:space="preserve">El estudio tiene como propósito estimar el efecto de las expectativas de alcohol relacionadas con el sexo (EARS) sobre la prevalencia del consumo de riesgo y examinar las diferencias de género al informar las expectativas de alcohol relacionadas con el sexo en adultos jóvenes.</t>
  </si>
  <si>
    <t xml:space="preserve">Consumo de alcohol riesgoso (hazardous drinking)</t>
  </si>
  <si>
    <t xml:space="preserve">Expectativas de alcohol relacionadas con el sexo (Sex-Related Alcohol Expectancies - SRAE) → Se mide en categorías: ninguna, una o dos, tres o más.</t>
  </si>
  <si>
    <t xml:space="preserve">Asociación entre (EARS) y consumo de alcohol:
Un aumento en las expectativas relacionadas con el alcohol y el sexo EARS está asociado con mayores tasas de consumo peligroso de alcohol en hombres, especialmente en aquellos con un mayor número de EARS.
Diferencias de género:
El reporte de SRAE fue más alto en hombres que en mujeres.
Se encontró una asociación entre SRAE y consumo de alcohol entre hombres, pero no entre mujeres.
Consumo peligroso en grupos de alto EARS:
Entre las mujeres con el rango más alto de EARS (tres o más), solo el 1.9% fue clasificada como bebedora peligrosa.
En contraste, más de la mitad (51.6%) de los hombres con el mismo nivel de EARS fueron clasificados como bebedores peligrosos.
Expectativas específicas:
La expectativa más frecuente entre los hombres fue que "las mujeres pueden tener orgasmos más fácilmente si han estado bebiendo".
Factores socioculturales:
El estudio sugiere que las diferencias sociales y culturales, como el machismo en Perú, pueden jugar un papel importante en la forma en que las personas traducen sus EARS en comportamientos de consumo de alcohol.
No asociación con otros factores:
El estado civil, la educación y el estado de empleo no se asociaron con el consumo peligroso de alcohol entre hombres y mujeres en este estudio.</t>
  </si>
  <si>
    <t xml:space="preserve">https://iris.paho.org/handle/10665.2/9820</t>
  </si>
  <si>
    <t xml:space="preserve">PubMed</t>
  </si>
  <si>
    <t xml:space="preserve">Risk Factors of Violence against Women in Peru</t>
  </si>
  <si>
    <t xml:space="preserve">Castro, Rodolfo; Cerellino, Lila; Rivera, Renzo</t>
  </si>
  <si>
    <t xml:space="preserve">Mujeres de edad fértil entre 15 y 49 años</t>
  </si>
  <si>
    <t xml:space="preserve">El objetivo del estudio es buscar características individuales, relacionales y comunitarias entre mujeres que viven con su pareja asociadas con la probabilidad de victimización por violencia de pareja (IPV).</t>
  </si>
  <si>
    <t xml:space="preserve">la presencia de violencia de pareja determinada por el Índice de Intensidad de Violencia contra la Mujer [VWII]</t>
  </si>
  <si>
    <t xml:space="preserve">Las variables independientes son los factores explicativos más validados de la violencia de pareja según varios estudios. Las agrupamos de la siguiente manera:
Factores de riesgo a nivel individual:
edad de la mujer (variable continua), nivel educativo de la mujer (variable categórica), número de uniones de la mujer durante toda su vida (variable dicotómica), situación laboral de la mujer (variable dicotómica), castigo físico durante la infancia (variable dicotómica) y si la mujer alguna vez vio a su padre golpear a su madre (variable dicotómica)
Factores de riesgo a nivel de relación:
edad de la pareja de la mujer (variable continua), diferencias de edad entre los miembros de la pareja (variable categórica), diferencias en el nivel educativo de la pareja (variable categórica), situación económica (variable categórica), estado civil (variable dicotómica), número de años de relación (variable categórica) y frecuencia de consumo excesivo de alcohol de la pareja de la mujer (variable categórica).
Factores de riesgo comunitarios: zona de residencia (variable dicotómica).</t>
  </si>
  <si>
    <t xml:space="preserve">Factores de riesgo más significativos:
Consumo excesivo de alcohol por parte de la pareja de la mujer
Haber sido testigo de violencia doméstica parental
Haber experimentado castigo físico durante la infancia
Factores de riesgo a nivel individual:
Empleo de la mujer
Bajo nivel educativo
Factores de riesgo a nivel relacional:
Duración de la relación entre 25 y 29 años
Vivir en convivencia (no casados)
Uniones previas
Nivel socioeconómico bajo
Factor de riesgo a nivel comunitario:
Vivir en una residencia urbana</t>
  </si>
  <si>
    <t xml:space="preserve">https://link.springer.com/article/10.1007/s10896-017-9929-0#citeas</t>
  </si>
  <si>
    <t xml:space="preserve">Exploring the association between segregation and physical intimate partner violence in Lima, Peru: The mediating role of gender norms and social capital</t>
  </si>
  <si>
    <t xml:space="preserve">Benavides, Martin; León, Juan; Etesse, Manuel; Espezúa, Lucía; Stuart, Jimena</t>
  </si>
  <si>
    <t xml:space="preserve">La muestra utilizada en este estudio se obtuvo a partir de un muestreo aleatorio estratificado realizado en cinco distritos de Lima Metropolitana (Carabayllo, El Agustino, Chorrillos, San Juan de Lurigancho y Villa el Salvador) con altas tasas de pobreza</t>
  </si>
  <si>
    <t xml:space="preserve">El objetivo de este estudio es analizar el impacto de la segregación residencial económica en la violencia física de pareja íntima (IPV), explorando los roles mediadores del capital social y las normas de género desfavorables para las mujeres en distritos de Lima Metropolitana.</t>
  </si>
  <si>
    <t xml:space="preserve">Violencia física por parte de la pareja (IPV): Variable dicotómica (1 = sí, 0 = no).</t>
  </si>
  <si>
    <t xml:space="preserve">A nivel individual: Edad, nivel educativo, lengua materna, lugar de nacimiento, empleo actual.
A nivel familiar: Convivencia con la pareja, número de hijos, movilidad residencial del jefe de hogar, pobreza, violencia en la infancia, violencia entre los padres.
A nivel vecinal: Segregación residencial socioeconómica, años de escolaridad promedio en el vecindario.
Mediadores: Capital social y normas de género desfavorables para las mujeres.</t>
  </si>
  <si>
    <t xml:space="preserve">Efecto indirecto de la segregación y pobreza:
Los contextos de pobreza y segregación influyen en la violencia física de pareja íntima (IPV) de manera indirecta, a través de dos variables mediadoras.
Capital social:
La segregación fomenta el desarrollo de mayores lazos sociales entre vecinos.
Una mayor intensidad de relaciones vecinales disminuye la probabilidad de IPV física.
El capital social tiene un impacto clave en la reducción de IPV física en contextos urbanos de pobreza y segregación.
Normas de género:
La segregación promueve el desarrollo de normas de género desfavorables para las mujeres.
Las normas de género que promueven el control masculino sobre las mujeres aumentan el riesgo de que las mujeres sean víctimas de violencia.
Sin embargo, el estudio sugiere que las normas de género solo tienen efectos limitados en comparación con el capital social.
Efecto a nivel de comunidad:
El apoyo de los vecinos es un factor más relevante para reducir la probabilidad de que las mujeres experimenten IPV física que las normas de género.
Contexto de países de ingresos bajos y medios:
En estos contextos, el funcionamiento inadecuado del sistema de protección parece facilitar la reproducción y perpetuación de la IPV.
Efecto inesperado de la segregación:
Contrariamente a algunas expectativas, vivir en áreas segregadas tiende a resultar en que las mujeres experimenten menos violencia de sus parejas, principalmente debido al efecto protector del capital socia</t>
  </si>
  <si>
    <t xml:space="preserve">https://www.sciencedirect.com/science/article/pii/S2352827318301174</t>
  </si>
  <si>
    <t xml:space="preserve">SSM-Population Health</t>
  </si>
  <si>
    <t xml:space="preserve">Brecha salarial de género y violencia doméstica contra la mujer en el Perú: un enfoque empírico, 2007-2017</t>
  </si>
  <si>
    <t xml:space="preserve">Quispe, Diego</t>
  </si>
  <si>
    <t xml:space="preserve">Mujeres entre 15 y 49 años de la población economicamente activas (PEA)</t>
  </si>
  <si>
    <t xml:space="preserve">Esta investigación busca analizar la violencia doméstica contra las mujeres desde las desigualdades en el mercado de trabajo; en específico, se indaga en el efecto de la brecha salarial de género sobre la incidencia de violencia.</t>
  </si>
  <si>
    <t xml:space="preserve">Probabilidad de ser victima de violencia</t>
  </si>
  <si>
    <t xml:space="preserve">Características del trabajo (variables de análisis prioritario):
Brecha salarial de género (estimada a nivel departamental con la ENAHO).
Si la mujer gana más que su pareja (variable binaria de la ENDES).
Si la mujer no trabaja (variable binaria de la ENDES).
Interacción entre "gana más que su pareja" y "no trabaja".
Características personales (covariables):
Edad (categorías: 15-19, 20-29, 30-39, 40-50 años).
Nivel educativo (categorías: sin educación, primaria, secundaria, superior).
Estado civil (soltera, casada o conviviente, separada/divorciada/viuda).
Características de la pareja (covariables):
Nivel educativo de la pareja.
Consumo de alcohol por parte de la pareja.
Edad de la pareja.
Características del hogar (covariables):
Número de hijos.
Área de residencia (urbana/rural).
Nivel socioeconómico.</t>
  </si>
  <si>
    <t xml:space="preserve">Aumento de la violencia con mayor brecha salarial: Se observa que a medida que la brecha salarial se amplía, aumenta la violencia doméstica, especialmente la física y emocional.
Poder de negociación: Las diferencias en ingresos entre hombres y mujeres afectan el poder de negociación de las mujeres en el hogar. Cuando las mujeres tienen ingresos similares o mayores, la violencia tiende a disminuir.
Resistencia del agresor: Cuando las mujeres incrementan sus ingresos o tienen la posibilidad de hacerlo, puede generarse una resistencia por parte de sus parejas, que se manifiesta en violencia. Esto se relaciona con el aumento del poder de negociación de las mujeres.
Impacto en mujeres no trabajadoras: La brecha salarial también afecta a mujeres que no están en el mercado laboral pero que estarían dispuestas a trabajar. La posibilidad de mejorar sus ingresos podría reducir su riesgo de violencia.
Condiciones del mercado laboral: La investigación enfatiza que la violencia no solo depende de las características individuales de las mujeres o sus parejas, sino también de las condiciones del mercado laboral. Un entorno laboral que ofrezca mejores oportunidades para las mujeres puede contribuir a reducir la violencia.
Reducción de la violencia a través de la equidad salarial: Cerrar la brecha salarial no solo es un objetivo de justicia social, sino que también podría llevar a una disminución en la violencia doméstica, al permitir a las mujeres depender menos de sus parejas económicamente.</t>
  </si>
  <si>
    <t xml:space="preserve">https://tesis.pucp.edu.pe/repositorio/handle/20.500.12404/21007</t>
  </si>
  <si>
    <t xml:space="preserve">¿Qué factores determinan la violencia doméstica de pareja y su recurrencia en el Perú?</t>
  </si>
  <si>
    <t xml:space="preserve">Vaccaro, Giannina; Mayorca, Ellen</t>
  </si>
  <si>
    <t xml:space="preserve">La población objetivo del estudio son las mujeres en Perú, particularmente aquellas que pueden ser afectadas por diferentes formas de violencia de género</t>
  </si>
  <si>
    <t xml:space="preserve">El propósito del estudio es analizar de manera diferenciada la violencia de género contra la mujer (VGCM) en el Perú, considerando las particularidades de cada región y los distintos tipos de violencia (física, psicológica, sexual y económica). Esto busca proporcionar información precisa y relevante que pueda ser utilizada en la formulación de políticas públicas efectivas para prevenir y reducir la incidencia de la VGCM.</t>
  </si>
  <si>
    <t xml:space="preserve">Probabilidad de sufrir violencia (fisica, psicologica, sexual, economica)</t>
  </si>
  <si>
    <t xml:space="preserve">Características individuales
Caracteristicas de relacion con su pareja
Caracteristicas comunitarias
Caracteristicas del hogar</t>
  </si>
  <si>
    <t xml:space="preserve">Factores Protectores:
La educación, la decisión compartida sobre el gasto y la edad se identifican como factores protectores para todos los tipos de VGCM, especialmente en los casos de violencia sexual y económica.
Factores de Riesgo:
Haber experimentado o presenciado violencia en la niñez incrementa la probabilidad y frecuencia de sufrir cualquier tipo de VGCM.
La tolerancia a la violencia se destaca como un factor de riesgo específico para la violencia sexual.
El empleo de la mujer aumenta el riesgo de sufrir violencia física y económica.
Análisis Regional:
La participación en decisiones del hogar reduce la probabilidad de sufrir violencia, especialmente en regiones como Ica, Junín, Huancavelica y Ayacucho.
El consumo de alcohol aumenta la probabilidad de violencia, particularmente en Cusco, Puno y Madre de Dios.
Patrón Intergeneracional:
Se resalta un patrón intergeneracional en la violencia, donde la experiencia de violencia en la infancia se relaciona con un mayor riesgo en la vida adulta.
Doble Penalidad:
La raza indígena y la participación laboral de la mujer se identifican como factores de riesgo, sugiriendo que las mujeres nativas y trabajadoras enfrentan una doble penalidad.
Propuestas de Políticas:
Se proponen medidas heterogéneas que consideran las variaciones en los roles protectores y de riesgo de las variables analizadas según el tipo de violencia y la región.</t>
  </si>
  <si>
    <t xml:space="preserve">https://cies.org.pe/investigacion/que-factores-determinan-la-violencia-domestica-de-pareja-y-su-recurrencia-en-el-peru-fact-violencia/</t>
  </si>
  <si>
    <t xml:space="preserve">Duplicado del n.° 70. Es la misma fila que el n.° 70.</t>
  </si>
  <si>
    <t xml:space="preserve">Gender-Based Violence Against Pregnant Women and Its Relationship with Maternal Depression in Patients Attended at a Public Hospital in Chincha, Peru: A Cross-Sectional Study</t>
  </si>
  <si>
    <t xml:space="preserve">Salas, Ursula; Campos, Luz; Real, Jakelyn; Usquiano, Luis; Cahuina, Paula; Zevallos, Alejandra; Osada, Jorge; Salvador, José</t>
  </si>
  <si>
    <t xml:space="preserve">Mujeres embarazadas entre 18 y 40 años de edad que asistían a sus controles prenatales en el Hospital Nacional San José de Chincha, ubicado en la región de Ica en el sur de Perú.</t>
  </si>
  <si>
    <t xml:space="preserve">Describir la violencia doméstica y la depresión materna en pacientes peruanas atendidas en un hospital público.</t>
  </si>
  <si>
    <t xml:space="preserve">Depresión materna: Variable dicotómica (presente o no)</t>
  </si>
  <si>
    <t xml:space="preserve">Factores de riesgo identificados en el análisis multivariado:
Embarazo no deseado
Violencia psicológica
Riesgo leve de feminicidio
Riesgo moderado de feminicidio</t>
  </si>
  <si>
    <t xml:space="preserve">Efectos encontrados:
Frecuencia de violencia psicológica: 19.6% (62 mujeres)
Frecuencia de agresión física: 7% (22 mujeres)
Riesgo de feminicidio: 22.1% (70 mujeres)
Presencia de depresión materna: 29.1% (92 mujeres)
Pensamientos suicidas: 16.8% (53 mujeres)
Factores de riesgo identificados para la depresión materna:
Embarazo no deseado
Violencia psicológica
Riesgo leve de feminicidio
Riesgo moderado de feminicidio
En resumen, el estudio encontró altas tasas de violencia de pareja íntima, riesgo de feminicidio y depresión materna entre las mujeres embarazadas atendidas en este hospital, con una de cada tres mujeres embarazadas experimentando depresión materna y una de cada cinco siendo víctima de violencia psicológica o estando en riesgo de feminicidio.</t>
  </si>
  <si>
    <t xml:space="preserve">https://psycnet.apa.org/record/2024-11549-006</t>
  </si>
  <si>
    <t xml:space="preserve">APA PsycNet</t>
  </si>
  <si>
    <t xml:space="preserve">Violencia basada en género en zonas urbanas y urbano-marginales de Lima y Callao, 2007 - 2010</t>
  </si>
  <si>
    <t xml:space="preserve">Mascaro, Pedro; García, Susana; Munares, Oscar</t>
  </si>
  <si>
    <t xml:space="preserve">Mujeres entre 15 y 49 años de edad de Lima</t>
  </si>
  <si>
    <t xml:space="preserve">Determinar y comparar las características de la violencia en pobladores de zonas urbanas y urbano-marginales</t>
  </si>
  <si>
    <t xml:space="preserve">Violencia física, sexual y psicologica
(presente o no)</t>
  </si>
  <si>
    <t xml:space="preserve">Factores sociodemográficos:
Edad (categorías, por ejemplo, 20-24 años).
Zona de residencia (urbana o urbano-marginal).</t>
  </si>
  <si>
    <t xml:space="preserve">Prevalencia de la Violencia:
Se observa una alta tasa de violencia física (47%) y sexual, con formas comunes como empujones y bofetadas. Esto indica una normalización de la violencia en ambas áreas.
Impacto en la Salud Física y Mental:
La violencia física y psicológica puede tener consecuencias significativas en la salud física y mental de las mujeres, contribuyendo a problemas como ansiedad, depresión y trastornos psicológicos.
Desigualdad en las Relaciones de Pareja:
El control y la falta de comunicación (por ejemplo, el gasto sin consulta) reflejan dinámicas de poder desiguales, lo que puede perpetuar relaciones abusivas y afectar la autonomía de las mujeres.
Vulnerabilidad Específica:
Las mujeres en áreas urbano-marginales pueden enfrentar condiciones que agravan su vulnerabilidad, aunque la violencia es también prevalente en áreas urbanas. Esto sugiere que la violencia de género no se limita a contextos de pobreza, sino que es un problema más amplio.
Necesidad de Intervenciones Específicas:
La similitud en los tipos de violencia entre las dos áreas sugiere que se requieren políticas públicas y programas de intervención que aborden la violencia de género de manera integral, considerando tanto contextos urbanos como urbano-marginales.</t>
  </si>
  <si>
    <t xml:space="preserve">https://revistasinvestigacion.unmsm.edu.pe/index.php/anales/article/view/830</t>
  </si>
  <si>
    <t xml:space="preserve">The gender wage gap and domestic violence against women: evidence from Peru</t>
  </si>
  <si>
    <t xml:space="preserve">El presente estudio tiene como objetivo analizar la relación entre la brecha salarial de género y la violencia doméstica en el Perú.</t>
  </si>
  <si>
    <t xml:space="preserve">Relación entre la brecha salarial y la violencia doméstica:
Una mayor brecha salarial entre hombres y mujeres está asociada con un aumento en la violencia doméstica.
Este efecto es especialmente notable en los tipos de violencia emocional y física.
Impacto del poder de negociación:
Los niveles de violencia disminuyen cuando los ingresos de las mujeres son similares o mayores que los de los hombres.
El aumento en el ingreso potencial de las mujeres puede generar resistencia por parte de la pareja, manifestándose en parte a través de la violencia.
Efecto en mujeres no empleadas:
La violencia física es altamente sensible a los cambios en la brecha salarial incluso entre las mujeres que no están actualmente empleadas.
Esto sugiere que el potencial de obtener un ingreso competitivo puede influir en la dinámica de la violencia doméstica.
Impacto del mercado laboral:
Las condiciones del mercado laboral, reflejadas en la brecha salarial, influyen en la incidencia de la violencia doméstica.
Un mercado laboral que ofrece a las mujeres la oportunidad de ser menos dependientes financieramente de sus parejas puede contribuir a reducir la violencia.
Efecto amplio en la sociedad:
La reducción de la brecha salarial tiene el potencial de disminuir la violencia no solo entre las mujeres empleadas, sino también entre aquellas que no lo están actualmente.
En resumen, el estudio encuentra que la desigualdad de ingresos en el mercado laboral es un determinante importante de la violencia doméstica, afectando tanto a las mujeres empleadas como a las que potencialmente podrían entrar al mercado laboral.</t>
  </si>
  <si>
    <t xml:space="preserve">https://revistas.uniandes.edu.co/index.php/dys/article/view/280/9254</t>
  </si>
  <si>
    <t xml:space="preserve">UNIVERSIDAD DE LOS ANDES</t>
  </si>
  <si>
    <t xml:space="preserve">Consecuencias de la violencia doméstica contra la mujer en el progreso escolar de los niños y niñas del Perú</t>
  </si>
  <si>
    <t xml:space="preserve">Alcázar, Lorena; Ocampo, Diego</t>
  </si>
  <si>
    <t xml:space="preserve">Mujeres de 15 a 49 años con niños en edad escolar entre 8 y 17 años de edad</t>
  </si>
  <si>
    <t xml:space="preserve">Este estudio estima el efecto que tiene la violencia de género sobre la probabilidad de que los niños y las niñas repitan el año escolar.</t>
  </si>
  <si>
    <t xml:space="preserve">La probabilidad de ser victima de violencia</t>
  </si>
  <si>
    <t xml:space="preserve">Caracteristicas individuales
Caracteristcias familiares
Caracteristicas de la pareja
Caracteristicas del hogar</t>
  </si>
  <si>
    <t xml:space="preserve">Efecto positivo sobre la probabilidad de reprobar el año escolar:
Tanto la violencia psicológica como la física contra las mujeres aumentan la probabilidad de que un niño o niña repita el año académico.
Magnitud del efecto:
En promedio, un niño o niña expuesto a la violencia de género en su hogar tiene 0.03 más probabilidades de repetir el año escolar que un niño o niña no expuesto.
Consistencia en áreas urbanas y rurales:
Los resultados son similares tanto en áreas urbanas como rurales, donde la violencia contra la mujer incrementa en alrededor de 0.03 la probabilidad de que el niño repita.
Efecto diferenciado por edad:
Para niños mayores de 11 años, la violencia en el hogar deja de ser un determinante significativo de la probabilidad de repetir.
En este grupo de edad, la violencia ejercida directamente contra ellos tiene un mayor impacto, aumentando en 0.06 la probabilidad de repetir.
No se encontraron efectos diferenciados por género:
El estudio no halló evidencia de un efecto diferenciado de la violencia doméstica contra la madre entre niñas y niños.
Otros factores relacionados:
El nivel educativo de la madre y del padre son determinantes negativos significativos de la probabilidad de que el niño fracase en el año escolar.
La riqueza de las familias se asocia con una menor probabilidad de que los niños repitan.
El número de niños menores en el hogar tiene un efecto positivo en la probabilidad de que los hermanos mayores repitan el año.
Es importante notar que el estudio tiene limitaciones, principalmente debido a que usa la repitencia escolar como medida del progreso educativo, lo cual puede no capturar completamente los efectos de la violencia doméstica en el aprendizaje y desarrollo de los niños.</t>
  </si>
  <si>
    <t xml:space="preserve">https://www.grade.org.pe/wp-content/uploads/di80.pdf</t>
  </si>
  <si>
    <t xml:space="preserve">Association between history of interparental violence and alcohol abuse among reproductive-age women: Evidence from the Peruvian Demographic and Health Survey</t>
  </si>
  <si>
    <t xml:space="preserve">Zamora, Carolain; Caira, Brenda; Fernandez, Daniel; Martinez, Raisa; Llamo, Anita; Gálvez, Ricardo; Urrunaga, Diego; Toro, Carlos</t>
  </si>
  <si>
    <t xml:space="preserve">Mujeres de 15 a 49 años de edad</t>
  </si>
  <si>
    <t xml:space="preserve">El presente estudio tuvo como objetivo evaluar la asociación entre la exposición a la violencia del padre hacia la madre y el abuso de alcohol en mujeres peruanas.</t>
  </si>
  <si>
    <t xml:space="preserve">Abuso de alcohol,</t>
  </si>
  <si>
    <t xml:space="preserve">Violencia interparental (violencia perpetrada por el padre contra la madre).</t>
  </si>
  <si>
    <t xml:space="preserve">Asociación entre violencia interparental y abuso de alcohol:
Las mujeres en edad reproductiva que fueron expuestas a violencia del padre hacia la madre (violencia interparental) tenían mayores probabilidades de experimentar problemas de abuso de alcohol.
Magnitud del efecto:
El odds ratio ajustado (aOR) para la asociación entre violencia interparental y abuso de alcohol fue de 2.10 (95% CI: 1.03-4.28).
Esto significa que, después de ajustar por factores de confusión, las mujeres expuestas a violencia interparental tenían 2.10 veces más probabilidades de abusar del alcohol en comparación con las no expuestas.
Prevalencia:
La prevalencia de violencia interparental en la muestra fue del 41.3%.
La prevalencia de abuso de alcohol en la muestra fue del 1.5%.
Factores de confusión considerados:
El estudio ajustó por edad, estado civil, nivel educativo, índice de riqueza, etnia, residencia, tabaquismo actual, depresión y violencia de pareja íntima (IPV).
Es importante notar que este es un estudio transversal, por lo que no se pueden establecer relaciones causales directas. Sin embargo, los resultados sugieren una fuerte asociación entre la exposición a la violencia interparental y el posterior abuso de alcohol en mujeres peruanas en edad reproductiva.</t>
  </si>
  <si>
    <t xml:space="preserve">https://pubmed.ncbi.nlm.nih.gov/39287602/</t>
  </si>
  <si>
    <t xml:space="preserve">C.3 Diferencia simple</t>
  </si>
  <si>
    <t xml:space="preserve">‘El que ve y Ayuda’: Evaluation of a Gender-based Violence Prevention Pilot Program in Peru</t>
  </si>
  <si>
    <t xml:space="preserve">Suarez, Eliana; McGrath, Eleanor; Morales, Andrea; Ordoñez, Jhoys; Reynaga, Gumercinda</t>
  </si>
  <si>
    <t xml:space="preserve">La población objetivo de este estudio son los residentes de la comunidad de Ayacucho, Perú, una zona post-conflicto. El estudio se realizó con una muestra de 155 participantes de esta comunidad.</t>
  </si>
  <si>
    <t xml:space="preserve">El propósito de este estudio es evaluar de manera piloto el programa de intervención de espectadores "El que ve y ayuda" (WSH, por sus siglas en inglés) en Ayacucho, Perú. El estudio busca medir la eficacia de esta estrategia de prevención de violencia sexual basada en la comunidad, específicamente diseñada para el contexto local de una comunidad post-conflicto. El objetivo es determinar si el programa aumenta la disposición de los participantes a intervenir en situaciones potenciales de violencia sexual y reduce su aceptación de mitos sobre la violación o creencias que culpan a la víctima.</t>
  </si>
  <si>
    <t xml:space="preserve">Disposición a intervenir en situaciones de violencia sexual (medida antes y después de la intervención).
Aceptación de mitos sobre la violación o creencias que culpan a la víctima (medida antes y después de la intervención).</t>
  </si>
  <si>
    <t xml:space="preserve">Participación en el programa de intervención “El que ve y ayuda” (WSH).</t>
  </si>
  <si>
    <t xml:space="preserve">Aumento en la disposición a intervenir:
Los participantes reportaron un aumento significativo en su disposición a intervenir en situaciones potenciales de violencia sexual después del programa.
Reducción en la aceptación de mitos sobre la violación:
Se observó una reducción significativa en la aceptación de mitos sobre la violación o creencias que culpan a la víctima.
Beneficios en investigación y desarrollo de capacidades:
El enfoque participativo y basado en la comunidad fomentó beneficios en términos de investigación y desarrollo de capacidades locales.
Validación de un enfoque culturalmente responsivo:
El estudio validó un enfoque de prevención de violencia sexual culturalmente relevante y basado en la comunidad, que potencialmente podría adaptarse y aplicarse en otras regiones.
Participación de hombres:
El estudio respondió a la necesidad de incluir a hombres en proyectos de prevención de violencia sexual y evaluar su impacto.
Compromiso de generaciones jóvenes:
La alta participación de jóvenes sugiere un compromiso prometedor con la prevención de la violencia sexual entre las generaciones más jóvenes.
Desarrollo de conocimiento local:
El proyecto mejoró el conocimiento local sobre procesos de investigación, programación y capacitación, lo que podría contribuir a la sostenibilidad post-proyecto.</t>
  </si>
  <si>
    <t xml:space="preserve">https://journals.lww.com/invn/fulltext/2024/22010/_el_que_ve_y_ayuda___evaluation_of_a_gender_based.6.aspx</t>
  </si>
  <si>
    <t xml:space="preserve">(Un)Conditional Love in the Time of Conditional Cash Transfers: The Effect of the Peruvian JUNTOS Program on Spousal Abuse</t>
  </si>
  <si>
    <t xml:space="preserve">Díaz, Juan José; Saldarriaga, Victor</t>
  </si>
  <si>
    <t xml:space="preserve">El estudio se enfocó en mujeres beneficiarias del programa JUNTOS en Perú, que son típicamente mujeres de bajos recursos en áreas rurales o semi-rurales.</t>
  </si>
  <si>
    <t xml:space="preserve">El propósito del estudio fue investigar si el programa de transferencia de efectivo JUNTOS en Perú, que destina el dinero principalmente a las mujeres, tiene un efecto no intencionado en la reducción del abuso conyugal.</t>
  </si>
  <si>
    <t xml:space="preserve">Mujer sufrió violencia física por parte de su pareja</t>
  </si>
  <si>
    <t xml:space="preserve">Participación en el programa JUNTOS, definida por la combinación de elegibilidad para el programa y exposición temporal al programa.
Elegibilidad: Se determina mediante un puntaje de pobreza basado en las características del hogar, donde un valor positivo indica elegibilidad.
Exposición: Se determina si la mujer fue encuestada después de la llegada del programa JUNTOS a su municipio.</t>
  </si>
  <si>
    <t xml:space="preserve">Efectos encontrados:
Reducción de la violencia física de pareja:
JUNTOS redujo la prevalencia de la violencia física de pareja en un 25-30%.
Cambios en el comportamiento masculino:
Se observó una reducción en el consumo frecuente de alcohol por parte de las parejas masculinas.
Hubo una disminución en la agresión relacionada con el alcohol por parte de los hombres.
Mecanismo de impacto:
El estudio sugiere que la reducción en el consumo de alcohol y la agresión relacionada con el alcohol por parte de los hombres es el mecanismo principal detrás de la disminución de la violencia física de pareja.
Estos hallazgos indican que los programas de transferencia de efectivo, aunque no están diseñados específicamente para abordar la violencia doméstica, pueden tener efectos positivos no intencionados en la reducción del abuso conyugal, posiblemente a través de cambios en los patrones de consumo de alcohol y comportamiento de las parejas masculinas.</t>
  </si>
  <si>
    <t xml:space="preserve">https://www.grade.org.pe/wp-content/uploads/DiazSaldarriaga_JUNTOSAndIPV_FullVersion.pdf</t>
  </si>
  <si>
    <t xml:space="preserve">Grupo para el Análisis de Desarrollo (GRADE)</t>
  </si>
  <si>
    <t xml:space="preserve">Falta el año.</t>
  </si>
  <si>
    <t xml:space="preserve">Acoso y violencia en espacios virtuales</t>
  </si>
  <si>
    <t xml:space="preserve">Pantallazo a la violencia de género: Redes sociales y ciberviolencia en relaciones sexo-afectivas entre adolescentes</t>
  </si>
  <si>
    <t xml:space="preserve">Sarmiento, Katherine</t>
  </si>
  <si>
    <t xml:space="preserve">Estudiantes de cuarto de secundaria de una institución educativa de San Juan de Lurigancho</t>
  </si>
  <si>
    <t xml:space="preserve">Este estudio busca explicar el rol de las redes sociales en la ciberviolencia de género en relaciones sexo-afectivas entre adolescentes de una institución educativa en San Juan de Lurigancho (Lima)</t>
  </si>
  <si>
    <t xml:space="preserve">Ciberviolencia de género</t>
  </si>
  <si>
    <t xml:space="preserve">Uso de redes sociales en relaciones sexo-afectivas entre adolescentes.</t>
  </si>
  <si>
    <t xml:space="preserve">Reproducción de jerarquías de género: Las redes sociales funcionan como contextos donde se recrean y reproducen relaciones jerárquicas de poder y subordinación basadas en género.
Rol activo de los adolescentes: Los y las adolescentes participan activamente en la negociación continua de estas relaciones de poder.
Influencia de estereotipos de género: Los discursos sobre el uso de redes sociales en relaciones sexo-afectivas están influenciados por creencias sobre roles y estereotipos de género.
Normalización de la ciberviolencia: Estos discursos favorecen la normalización de conductas de ciberviolencia, especialmente la ciberagresión sexual contra las adolescentes mujeres.
Desmitificación del riesgo inherente: Se busca cambiar la percepción de que las redes sociales son intrínsecamente riesgosas para los adolescentes.
Importancia del uso y el entorno: El resultado del uso de redes sociales depende en gran medida de cómo se utilizan y de la seguridad del entorno en que se desarrolla.
Rol de los adultos: Se identifica la necesidad de involucrar a los adultos en la prevención de la ciberviolencia, no desde un enfoque de control, sino de comprensión y empatía.
Brecha generacional: Los adolescentes perciben a los adultos como distantes y poco comprensivos de sus realidades digitales.
Ineficacia del control excesivo: La vigilancia y el control extremo por parte de los adultos no resultan en entornos más seguros para los adolescentes.
Importancia de las relaciones familiares: Los adolescentes con mejores relaciones familiares tienden a tener menos temor a hablar de sus problemas en entornos digitales y tienen mejor acceso al apoyo de los adultos.</t>
  </si>
  <si>
    <t xml:space="preserve">https://cies.org.pe/investigacion/pantallazo-a-la-violencia-de-genero-redes-sociales-y-ciberviolencia-en-relaciones-sexo-afectivas-entre-adolescentes/</t>
  </si>
  <si>
    <t xml:space="preserve">GENDER-BASED VIOLENCE IMPUNITY REGIONAL STUDY: PERU CASE STUDY</t>
  </si>
  <si>
    <t xml:space="preserve">USAID</t>
  </si>
  <si>
    <t xml:space="preserve">Mujeres indígenas, mujeres migrantes venezolanas y mujeres jóvenes y adolescentes (especialmente de regiones andinas y amazónicas) sobrevivientes de trata sexual.</t>
  </si>
  <si>
    <t xml:space="preserve">El estudio forma parte de una investigación regional más amplia sobre la impunidad en casos de violencia basada en género (VBG) en América Latina y el Caribe. El propósito específico del estudio de caso de Perú es explorar vías para lograr la rendición de cuentas en casos de impunidad de VBG entre mujeres que fueron víctimas de trata de personas.</t>
  </si>
  <si>
    <t xml:space="preserve">Impunidad de la violencia de género y la trata de personas (nivel de impunidad en casos de GBV y trata de personas, acceso a la justicia y protección para las sobrevivientes).</t>
  </si>
  <si>
    <t xml:space="preserve">Factores estructurales: Desigualdad de género, pobreza, falta de oportunidades económicas.
Factores institucionales: Aplicación desigual de las leyes, falta de recursos en el sistema judicial, corrupción.
Factores sociales y culturales: Normalización de la explotación, discriminación hacia poblaciones indígenas y migrantes.
Factores del crimen organizado: Influencia y poder de grupos criminales en la trata de personas.</t>
  </si>
  <si>
    <t xml:space="preserve">Mejora de servicios: Los proveedores de servicios ven como prioridad cerrar las brechas en la calidad y cobertura de los servicios para víctimas y sobrevivientes.
Resultados judiciales: Se considera crucial mejorar los resultados judiciales, incluyendo:
Aumento de denuncias por parte de víctimas y sobrevivientes
Más condenas a perpetradores
Reparaciones adecuadas para los sobrevivientes
Enfoque centrado en el sobreviviente: Necesidad de mejorar los servicios judiciales para que prioricen los derechos y el bienestar de los sobrevivientes en cada etapa.
Fortalecimiento del sistema legal: Abordar las deficiencias en la capacitación de oficiales de policía y en los procesos de recolección de evidencia y enjuiciamiento.
Reparaciones civiles: Renovar los procesos de reparaciones civiles para garantizar una compensación adecuada a los sobrevivientes.
Aumento de presupuesto: Necesidad de incrementar las asignaciones presupuestarias para programas de prevención y respuesta a la trata y VBG.
Mejora de la coordinación: Fortalecer la coordinación entre instituciones que proporcionan servicios relacionados con la trata y VBG.
Empoderamiento de sobrevivientes: Visión de rendición de cuentas que centre a los sobrevivientes, les dé poder de decisión y voz.
Reintegración: Abordar la fase de reintegración de las víctimas, ofreciendo alternativas viables para evitar que vuelvan a situaciones de explotación.
Inclusión de la sociedad civil: Incorporar a las organizaciones de la sociedad civil junto con las instituciones estatales en la lucha contra la trata de personas.
Barreras financieras: Eliminar o minimizar las barreras financieras para el acceso a servicios, especialmente para sobrevivientes económicamente dependientes.</t>
  </si>
  <si>
    <t xml:space="preserve">https://www.norc.org/content/dam/norc-org/pdf2024/gender-based-violence-peru-case-study.pdf</t>
  </si>
  <si>
    <t xml:space="preserve">Preferences for Intervention Among Peruvian Women in Intimate Partner Violence Relationships</t>
  </si>
  <si>
    <t xml:space="preserve">May, Swee; Espinoza, Damarys; Rondon, Marta; Jimenez, Maria; Sanchez, Elena; Ojeda, Nely; Sanchez, Sixto; Williams, Michelle</t>
  </si>
  <si>
    <t xml:space="preserve">La población objetivo del estudio fueron mujeres peruanas con experiencia previa o actual de violencia de pareja íntima</t>
  </si>
  <si>
    <t xml:space="preserve">El propósito principal del estudio fue identificar qué estrategias de intervención quieren o necesitan las mujeres peruanas que han sufrido abuso.</t>
  </si>
  <si>
    <t xml:space="preserve">Necesidades y preferencias de apoyo para mujeres víctimas de violencia.</t>
  </si>
  <si>
    <t xml:space="preserve">Experiencia de violencia conyugal (pasada o reciente).
Necesidad de apoyo emocional y compasión.
Acceso a asesoramiento profesional.
Disponibilidad de intervenciones informativas y prácticas.
Participación en grupos comunitarios de apoyo.
Acceso a asesoramiento individual y profesional.
Factores estructurales que contribuyen a la violencia de género.</t>
  </si>
  <si>
    <t xml:space="preserve">Necesidades identificadas de las víctimas de violencia de pareja íntima (IPV):
Apoyo compasivo
Intervenciones prácticas como:
Capacitación en habilidades laborales
Apoyo financiero
Asistencia para encontrar empleo
Asistencia para encontrar vivienda
Importancia de las intervenciones:
Ayudan a las mujeres a superar barreras sociales, culturales, económicas y políticas
Facilitan que las mujeres tomen medidas para protegerse a sí mismas y a sus hijos del abuso
Propuesta de estrategia de intervención en dos niveles:
Grupos de apoyo comunitario
Asesoramiento profesional individual
Características de la estrategia propuesta:
Ofrece una amplia cobertura para grandes poblaciones de mujeres
Proporciona apoyo compasivo, empoderamiento y capacitación en habilidades laborales
Ofrece asesoramiento profesional especializado e intensivo para casos que lo requieran
Principio clave:
Respeto a la autonomía de cada mujer en el proceso de toma de decisiones
Recomendación para intervenciones futuras:
Las intervenciones primarias, secundarias y terciarias contra la violencia en Perú, dirigidas tanto a mujeres como a hombres, deben abordar los factores estructurales que contribuyen a la violencia contra las mujeres.</t>
  </si>
  <si>
    <t xml:space="preserve">https://www.ncbi.nlm.nih.gov/pmc/articles/PMC4568981/</t>
  </si>
  <si>
    <t xml:space="preserve">National Center for Biotechnology Information</t>
  </si>
  <si>
    <t xml:space="preserve">Hablemos de embarazos forzados y violencia sexual</t>
  </si>
  <si>
    <t xml:space="preserve">Meléndez, Liz</t>
  </si>
  <si>
    <t xml:space="preserve">La población objetivo del estudio son las mujeres que han sobrevivido a la violencia sexual, así como aquellas que enfrentan las consecuencias de embarazos no deseados debido a esta violencia. También se dirige a legisladores, activistas y profesionales de la salud y derechos humanos, con el fin de sensibilizarlos sobre la importancia de abordar estos temas desde un enfoque de derechos y de género.</t>
  </si>
  <si>
    <t xml:space="preserve">El propósito del estudio es analizar la violencia sexual contra las mujeres, específicamente enfocándose en la violación sexual y sus consecuencias, como el embarazo no deseado. El documento busca ampliar las discusiones legales sobre el concepto de "embarazo forzado" para incluir aquellos embarazos resultantes de una violación, especialmente en contextos donde las mujeres no tienen el derecho a decidir sobre su reproducción. Además, se plantea que la garantía de los derechos reproductivos es fundamental para combatir la violencia contra las mujeres.</t>
  </si>
  <si>
    <t xml:space="preserve">Penalización del aborto en mujeres víctimas de violación sexual (puede medirse en términos de sufrimiento físico y mental, exposición a malos tratos, afectaciones a los derechos reproductivos, etc.).</t>
  </si>
  <si>
    <t xml:space="preserve">Existencia de embarazo producto de violación sexual.
Prohibición del derecho a decidir (restricciones legales al aborto).
Enfoque legal sobre el concepto de "embarazo forzado".
Afectaciones a la salud física y mental de las víctimas.
Enfoque de derechos y de género en la legislación.
Persistencia de la violencia contra las mujeres.</t>
  </si>
  <si>
    <t xml:space="preserve">Impacto físico y psicológico: Las sobrevivientes de violencia sexual suelen sufrir secuelas físicas y emocionales. Esto incluye trastornos de salud mental como depresión, ansiedad, trastorno de estrés postraumático (TEPT) y sentimientos de culpa o vergüenza.
Sufrimiento prolongado: La continuación de un embarazo no deseado impuesto por la violencia sexual revierte el trauma de la agresión, prolongando el sufrimiento emocional y físico de la víctima.
Violación de derechos humanos: Un embarazo forzado representa una violación a los derechos reproductivos y humanos de las mujeres, privándolas de su autonomía y de la capacidad de decidir sobre su propio cuerpo.
Estigmatización y discriminación: Las mujeres que enfrentan embarazos forzados pueden ser objeto de estigmatización social, lo que puede llevar a la marginación y a la discriminación en su entorno familiar y comunitario.
Consecuencias económicas: La imposibilidad de acceder a servicios de salud reproductiva adecuados puede llevar a las mujeres a situaciones de precariedad económica, afectando su capacidad para trabajar y sostenerse.
Cadenas de violencia: La falta de acceso a la interrupción del embarazo en casos de violación puede perpetuar ciclos de violencia, donde las mujeres se ven forzadas a continuar con embarazos que les recuerdan la agresión, afectando su bienestar y dignidad.
Falta de protección estatal: La legislación punitiva en torno al aborto en casos de violación puede ser vista como un respaldo institucional a la violencia, lo que desincentiva la denuncia y perpetúa la impunidad.
Reproducción de estereotipos de género: La falta de garantías en los derechos sexuales y reproductivos refuerza los roles de género tradicionales y la percepción de que las mujeres son responsables de llevar adelante embarazos, sin consideración de las circunstancias de su concepción.</t>
  </si>
  <si>
    <t xml:space="preserve">https://revistas.pucp.edu.pe/index.php/derechoysociedad/article/view/18888</t>
  </si>
  <si>
    <t xml:space="preserve">MARCO CONCEPTUAL PARA LA PREVENCIÓN DE LA VIOLENCIA DE GÉNERO CONTRA LAS MUJERES</t>
  </si>
  <si>
    <t xml:space="preserve">La población objetivo incluye a todas las mujeres en Perú, abarcando su diversidad étnica, social y cultural, así como a los actores involucrados en la prevención y erradicación de la violencia de género, como organismos gubernamentales y sociedad civil.</t>
  </si>
  <si>
    <t xml:space="preserve">El propósito del estudio, tal como se presenta en el Marco Conceptual para la Prevención de la Violencia de Género Contra las Mujeres (VGCM), es construir una comprensión nacional compartida sobre la violencia de género, enfocándose especialmente en la prevención primaria de este problema. Se busca identificar y abordar las raíces de la VGCM, proponiendo mecanismos y políticas integrales que permitan erradicar la violencia y promover la igualdad de género, así como garantizar los derechos humanos de todas las mujeres en el Perú.</t>
  </si>
  <si>
    <t xml:space="preserve">Multicausalidad: La VGCM es un problema complejo que se manifiesta de manera diferenciada según la diversidad de las mujeres, agravada por discriminaciones múltiples (edad, identidad de género, orientación sexual, etc.).
Prevención primaria: Se enfatiza la necesidad de atacar las raíces del problema a través de la prevención primaria, abordando los factores que promueven la violencia.
Enfoque holístico: La prevención debe ser integral, involucrando a todos los niveles de la sociedad (gobierno, sociedad civil, sector privado) para transformar normas y estructuras que perpetúan la violencia.
Consecuencias negativas: La VGCM tiene efectos negativos a nivel individual y social, afectando el desarrollo y bienestar de las víctimas, sus familias y la comunidad en general.
Compromiso estatal: Es una obligación del Estado peruano prevenir y erradicar la VGCM, alineándose con compromisos internacionales.
Investigación y evaluación: Se requiere mayor investigación sobre las causas de la VGCM y la evaluación de intervenciones efectivas para prevenirla.</t>
  </si>
  <si>
    <t xml:space="preserve">https://cdn.www.gob.pe/uploads/document/file/2935176/Marco-Conceptual-para-la-prevencion-de-la-violencia-de-genero-contra-las-mujeres.pdf</t>
  </si>
  <si>
    <t xml:space="preserve">Salud física</t>
  </si>
  <si>
    <t xml:space="preserve">A.1 Meta análisis</t>
  </si>
  <si>
    <t xml:space="preserve">Underrepresentation of women in randomized controlled trials: a systematic review and meta-analysis</t>
  </si>
  <si>
    <t xml:space="preserve">Vered Daitch; Adi Turjeman; Itamar Poran; Noam Tau; Irit Ayalon-Dangur; Jeries Nashashibi; Dafna Yahav; Mical Paul; Leonard Leibovici</t>
  </si>
  <si>
    <t xml:space="preserve">Estados Unidos</t>
  </si>
  <si>
    <t xml:space="preserve">Internacional</t>
  </si>
  <si>
    <t xml:space="preserve">Pacientes adultos en campos médicos especificos</t>
  </si>
  <si>
    <t xml:space="preserve">Evaluar en los 300 estudios las tasas de inclusión de mujeres en RCTs recientes y explorar las barreras potenciales para su inscripción, dado que existe preocupación sobre si ha habido mejora en su representación desde los cambios regulatorios de 1994.</t>
  </si>
  <si>
    <t xml:space="preserve">Tasa de inscripción de mujeres (calculada como el número de mujeres aleatorizadas dividido por el total de pacientes aleatorizados)</t>
  </si>
  <si>
    <t xml:space="preserve">Tipo de intervención (tratamientos cardiovasculares, neoplásicos, endocrinos, respiratorios, bacterianos/fúngicos, virales, digestivos, del sistema inmunológico)</t>
  </si>
  <si>
    <t xml:space="preserve">El análisis de 300 ensayos clínicos aleatorizados mostró una subrepresentación general de mujeres (tasa de inscripción mediana del 41%), excepto en enfermedades del sistema inmune (68%), con una tendencia decreciente en la participación femenina a medida que aumentaba la edad de los participantes.</t>
  </si>
  <si>
    <t xml:space="preserve">https://trialsjournal.biomedcentral.com/articles/10.1186/s13063-022-07004-2</t>
  </si>
  <si>
    <t xml:space="preserve">Acceso a tecnología</t>
  </si>
  <si>
    <t xml:space="preserve">Gender and attitudes toward technology use: A meta-analysis</t>
  </si>
  <si>
    <t xml:space="preserve">Zhihui Cai; ,; Xitao Fan; ,; Jianxia Du</t>
  </si>
  <si>
    <t xml:space="preserve">Estados Unidos, Noruega, Reino Unido, Taiwán, Canadá, China, España, Liechtenstein, Grecia, Irán, Malasia, Arabia Saudita, Estonia, Alemania, Jordania</t>
  </si>
  <si>
    <t xml:space="preserve">Estudiantes de nivel universitario, escuela secundaria y otros niveles educativos, distribuidos geográficamente en Europa, Norte América, Asia y otras regiones.</t>
  </si>
  <si>
    <t xml:space="preserve">Re-examinar la diferencia de género en actitudes hacia el uso de tecnología mediante meta-análisis de estudios de las últimas dos décadas, y explorar moderadores potenciales.</t>
  </si>
  <si>
    <t xml:space="preserve">Actitud hacia el uso de la tecnología (medida en 3 dimensiones: Affect, Self-efficacy, y Belief)</t>
  </si>
  <si>
    <t xml:space="preserve">El meta-análisis reveló una diferencia de género pequeña pero significativa (g=0.17) favoreciendo a los hombres en actitudes hacia la tecnología. Esta diferencia fue más pronunciada en estudiantes de secundaria que universitarios, y geográficamente más marcada en Norteamérica (g=0.23) comparado con Asia (g=0.12) y Europa (g=0.14). No se observó una reducción significativa de esta brecha de género a lo largo del tiempo (1997-2014).</t>
  </si>
  <si>
    <t xml:space="preserve">https://www.sciencedirect.com/science/article/abs/pii/S0360131516302007</t>
  </si>
  <si>
    <t xml:space="preserve">Incidence of Gender in the Teacher’s Digital Competence: A Meta-Analysis Study</t>
  </si>
  <si>
    <t xml:space="preserve">Indah Rini; Iva Sarifah; Riyadi</t>
  </si>
  <si>
    <t xml:space="preserve">Perú, Indonesia</t>
  </si>
  <si>
    <t xml:space="preserve">Nacional e internacional</t>
  </si>
  <si>
    <t xml:space="preserve">430,406 profesores incluidos en 6 estudios elegibles encontrados en Google Scholar (no se especifica el nivel educativo en el que enseñan).</t>
  </si>
  <si>
    <t xml:space="preserve">Analizar y comparar el nivel de competencia digital entre profesores según su género mediante un meta-análisis</t>
  </si>
  <si>
    <t xml:space="preserve">Nivel de competencia digital docente</t>
  </si>
  <si>
    <t xml:space="preserve">Género del profesor (masculino vs femenino)</t>
  </si>
  <si>
    <t xml:space="preserve">El meta-análisis de 6 estudios sobre competencia digital docente mostró un tamaño del efecto moderado (r = 0.23, IC 95% = -0.26, 0.73), sugiriendo que la competencia digital de los docentes masculinos es 23% mayor que la de las docentes femeninas. Sin embargo, como el intervalo de confianza incluye el cero y el p-valor (0.348) es mayor que 0.05, las diferencias de género no son estadísticamente significativas. La heterogeneidad entre estudios fue moderada (I² = 57.801%), indicando variabilidad en los resultados entre las investigaciones analizadas.</t>
  </si>
  <si>
    <t xml:space="preserve">https://ejournal.uika-bogor.ac.id/index.php/TEK/article/view/16490/5601</t>
  </si>
  <si>
    <t xml:space="preserve">Is there a gender gap? A meta-analysis of the gender differences in students' ICT literacy</t>
  </si>
  <si>
    <t xml:space="preserve">Fazilat Siddiq; Ronny Scherer</t>
  </si>
  <si>
    <t xml:space="preserve">América, Asia, Australia, Europa</t>
  </si>
  <si>
    <t xml:space="preserve">Estudiantes de primaria y secundaria</t>
  </si>
  <si>
    <t xml:space="preserve">Examinar las diferencias de género en la alfabetización TIC mediante una meta-análisis de estudios empíricos y contrastar los hallazgos previos sobre la autopercepción de competencias TIC entre géneros</t>
  </si>
  <si>
    <t xml:space="preserve">Rendimiento real en tareas de alfabetización TIC medido a través de evaluaciones basadas en desempeño</t>
  </si>
  <si>
    <t xml:space="preserve">Género de los estudiantes</t>
  </si>
  <si>
    <t xml:space="preserve">Los resultados del meta-análisis, basado en 46 tamaños de efecto extraídos de 23 estudios empíricos, revelaron una diferencia significativa de género en alfabetización TIC (g = +0.12, IC 95% = [0.08, 0.16]) favoreciendo a las niñas. El efecto fue más pronunciado en estudiantes de primaria comparado con secundaria.</t>
  </si>
  <si>
    <t xml:space="preserve">https://www.sciencedirect.com/science/article/pii/S1747938X18302902</t>
  </si>
  <si>
    <t xml:space="preserve">Gender differences in information and communication technology use &amp; skills: a systematic review and meta-analysis</t>
  </si>
  <si>
    <t xml:space="preserve">Atika Qazi; Najmul Hasan; Olusola Abayomi-Alli; Glenn Hardaker; Ronny Scherer; Yeahia Sarker; Sanjoy Kumar Paul; Jaafar Zubairu Maitama</t>
  </si>
  <si>
    <t xml:space="preserve">Bélgica, Finlandia, Jordania, Noruega, España, Hong Kong, Taiwán, Alemania, Estados Unidos, Corea del Sur, Brasil, Ghana, China, Sudáfrica, Nigeria, Turquía, Mauricio, Indonesia, Canadá, Croacia, Malasia</t>
  </si>
  <si>
    <t xml:space="preserve">Estudiantes que usan TIC para el aprendizaje</t>
  </si>
  <si>
    <t xml:space="preserve">Examinar las diferencias de género en el uso y habilidades de TIC para el aprendizaje mediante una revisión sistemática y meta-análisis</t>
  </si>
  <si>
    <t xml:space="preserve">Uso de TIC
Habilidades en TIC</t>
  </si>
  <si>
    <t xml:space="preserve">Los resultados principales del meta-análisis muestran:
El modelo de efectos fijos reveló un efecto pequeño y significativo favoreciendo a los niños (g = 0.12, IC 95% [0.08, 0.15], p &lt; .001)
El modelo de efectos aleatorios mostró un efecto pequeño y positivo, pero no estadísticamente significativo (g = 0.17, IC 95% [-0.02, 0.36], p = .07)
Se encontró heterogeneidad significativa entre los estudios (I² = 93.4%)
En general, los resultados no indican diferencias de género significativas en las variables relacionadas con las TIC.</t>
  </si>
  <si>
    <t xml:space="preserve">https://link.springer.com/article/10.1007/s10639-021-10775-x</t>
  </si>
  <si>
    <t xml:space="preserve">Gender and the evaluation of leaders: A meta-analysis.</t>
  </si>
  <si>
    <t xml:space="preserve">Alice H. Eagty; Mona G. Makhijani; Bruce G. Klonsky</t>
  </si>
  <si>
    <t xml:space="preserve">Sin dato</t>
  </si>
  <si>
    <t xml:space="preserve">Sujetos evaluadores de líderes/gerentes en entornos organizacionales, con especial atención a la evaluación por parte de hombres.</t>
  </si>
  <si>
    <t xml:space="preserve">Investigar si existe un sesgo en contra de las mujeres en posiciones de liderazgo, manteniendo constantes otras características y variando solo el sexo del líder.</t>
  </si>
  <si>
    <t xml:space="preserve">Evaluación del liderazgo/desempeño</t>
  </si>
  <si>
    <t xml:space="preserve">Sexo del líder</t>
  </si>
  <si>
    <t xml:space="preserve">Los resultados principales indican que hubo una pequeña tendencia general a evaluar menos favorablemente a las líderes mujeres en comparación con los hombres (d+ = 0.05, IC 95% [0.02, 0.08]). Esta devaluación fue más pronunciada bajo ciertas condiciones: cuando las mujeres usaban estilos de liderazgo autocráticos (diferencia significativa p&lt;.001), en roles tradicionalmente masculinos como deportes y negocios (d+ = 1.03 para contexto atlético), y cuando los evaluadores eran hombres (diferencia significativa p&lt;.05 vs. evaluadoras mujeres). Las medidas más evaluativas como competencia y satisfacción mostraron mayor sesgo contra las mujeres (d+ = 0.09 y d+ = 0.10 respectivamente) que las medidas de estilo de liderazgo. El análisis de regresión múltiple (R = .59) confirmó que el estilo de liderazgo, la distribución por sexo en el rol, el sexo de los subordinados y el tipo de contexto organizacional fueron predictores significativos de la magnitud del sesgo.</t>
  </si>
  <si>
    <t xml:space="preserve">https://psycnet.apa.org/record/1992-16290-001</t>
  </si>
  <si>
    <t xml:space="preserve">Falta el país.</t>
  </si>
  <si>
    <t xml:space="preserve">Gender differences in scholastic achievement: A meta-analysis</t>
  </si>
  <si>
    <t xml:space="preserve">Daniel Voyer; Susan Voyer</t>
  </si>
  <si>
    <t xml:space="preserve">Norteamerica, Escandinavia, otros</t>
  </si>
  <si>
    <t xml:space="preserve">Estudiantes de primaria, secundaria, preparatoria y universidad (pregrado y posgrado).</t>
  </si>
  <si>
    <t xml:space="preserve">Cuantificar las diferencias de género en las calificaciones escolares asignadas por profesores y examinar las variables moderadoras relevantes</t>
  </si>
  <si>
    <t xml:space="preserve">Calificaciones escolares asignadas por profesores</t>
  </si>
  <si>
    <t xml:space="preserve">Ventaja general pequeña pero significativa para las mujeres (d = 0.225, IC 95% [0.201, 0.249])
Ventaja femenina por materias:
Mayor en lenguaje (d = 0.374, IC 95% [0.316, 0.432])
Menor en matemáticas (d = 0.069, IC 95% [0.014, 0.124])</t>
  </si>
  <si>
    <t xml:space="preserve">https://psycnet.apa.org/buy/2014-15035-001</t>
  </si>
  <si>
    <t xml:space="preserve">Gender and the emergence of leaders: A meta-analysis.</t>
  </si>
  <si>
    <t xml:space="preserve">Alice Eagly; Steven Karau</t>
  </si>
  <si>
    <t xml:space="preserve">Grupos sin líderes asignados (estudios de laboratorio y campo).</t>
  </si>
  <si>
    <t xml:space="preserve">Analizar la emergencia de líderes por género en grupos inicialmente sin liderazgo.</t>
  </si>
  <si>
    <t xml:space="preserve">Emergencia como líder</t>
  </si>
  <si>
    <t xml:space="preserve">Los resultados principales del estudio muestran:
Diferencias por tipo de liderazgo:
Liderazgo de tareas: hombres emergen más (d+ = 0.41, IC 95% [0.34, 0.48])
Liderazgo no especificado: hombres emergen más (d+ = 0.29, IC 95% [0.24, 0.34])
Liderazgo social: mujeres emergen más (d+ = -0.18, IC 95% [-0.29, -0.06])
Liderazgo general combinado: favor de hombres (d+ = 0.32, IC 95% [0.28, 0.37])
Variables moderadoras significativas:
Mayor emergencia masculina en:
Sesiones cortas (&lt;20 min)
Tareas masculinas vs femeninas (p &lt; .005)
Tareas de baja complejidad social
Grupos con números iguales de hombres y mujeres vs mayoría de un género (p &lt; .001)
Estudios de laboratorio vs naturales
Grupos pequeños</t>
  </si>
  <si>
    <t xml:space="preserve">https://doi.org/10.1037/0022-3514.60.5.685</t>
  </si>
  <si>
    <t xml:space="preserve">Gender differences in academic self-efficacy: a meta-analysis</t>
  </si>
  <si>
    <t xml:space="preserve">Chiungjung Huang</t>
  </si>
  <si>
    <t xml:space="preserve">Estados Unidos, Malasia, Grecia, Noruega, Taiwán, Canadá, Turquía, Israel, Reino Unido, Japón, Sultan, Australia, Suecia, China</t>
  </si>
  <si>
    <t xml:space="preserve">Participantes de estudios sobre autoeficacia académica</t>
  </si>
  <si>
    <t xml:space="preserve">Meta-analizar las diferencias de género en la autoeficacia académica e identificar variables moderadoras.</t>
  </si>
  <si>
    <t xml:space="preserve">Autoeficacia académica en diferentes dominios</t>
  </si>
  <si>
    <t xml:space="preserve">Resultados principales con coeficientes:
Efecto general pequeño a favor de los hombres (g = 0.08, IC 95% [0.03, 0.12])
Diferencias por dominio académico:
Lenguaje: mayor autoeficacia en mujeres (g = -0.16)
Matemáticas: mayor en hombres (g = 0.18)
Computación: mayor en hombres (g = 0.18)
Ciencias sociales: mayor en hombres (g = 0.26)
Ciencias: sin diferencias significativas (g = 0.04)
Diferencias por edad:
Mayor efecto en mayores de 23 años (g = 0.23)
Específicamente en matemáticas:
15-18 años: g = 0.20
19-22 años: g = 0.36
23 años: g = 0.33
No hubo diferencias significativas por cultura:
Individualista: g = 0.08
Colectivista: g = 0.07</t>
  </si>
  <si>
    <t xml:space="preserve">https://link.springer.com/article/10.1007/s10212-011-0097-y</t>
  </si>
  <si>
    <t xml:space="preserve">Meta-analysis of gender a science research</t>
  </si>
  <si>
    <t xml:space="preserve">Maria Caprile; Elisabetta Addis; Cecilia Castaño; Ineke Klinge; Marina Larios; Danièle Meulders; Jörg Müller; Síle O’Dorchai; Mária Palasik; Robert Plasman; Seppo Roivas; Felizitas Sagebiel; Londa Schiebinger; Núria Vallès; Susana Vázquez-Cupeiro</t>
  </si>
  <si>
    <t xml:space="preserve">Reino Unido, Alemania, Francia, Suecia, Dinamarca, Austria, España, Italia, Finlandia, Grecia, Normandia, Portugal, República Checa, Bélgica, Eslovaquia, Hungría, Islandia, Luxemburgo, Polonia, Lituania, Noruega, Eslovenia, Estonia, Malta, Letonia, Bulgaria, Turquía, Rumania, Chipre, Suiza, Israel, Croacia</t>
  </si>
  <si>
    <t xml:space="preserve">Investigadores y científicos en el ámbito académico y profesional de 33 países europeos, tanto en instituciones académicas como no académicas (industria e I+D).</t>
  </si>
  <si>
    <t xml:space="preserve">Recopilar y analizar investigaciones sobre la segregación horizontal y vertical por género en las carreras de investigación, así como sus causas y efectos.</t>
  </si>
  <si>
    <t xml:space="preserve">Segregación en carreras científicas (horizontal y vertical)</t>
  </si>
  <si>
    <t xml:space="preserve">Hallazgos clave:
La escasez de mujeres en todos los niveles de la ciencia está bien documentada
El avance hacia la igualdad de género es lento y no se puede dar por sentado
Las mujeres están cada vez más subrepresentadas mientras más alto es el nivel científico</t>
  </si>
  <si>
    <t xml:space="preserve">https://docta.ucm.es/bitstreams/b1df0ed0-406d-4ca9-a82c-727b596ab20c/download</t>
  </si>
  <si>
    <t xml:space="preserve">Gender differences in the initiation of negotiations: A meta-analysis.</t>
  </si>
  <si>
    <t xml:space="preserve">Katharina Kugler; Julia Reif; Tamara Kaschner; Felix Brodbeck</t>
  </si>
  <si>
    <t xml:space="preserve">Reino Unido, Estados Unidos, Rumania, Alemania, Canadá, Noruega, Suiza, Grecia</t>
  </si>
  <si>
    <t xml:space="preserve">17,504 individuos, incluyendo estudiantes y empleados.</t>
  </si>
  <si>
    <t xml:space="preserve">Investigar las diferencias de género en la iniciación de negociaciones y examinar cómo estas diferencias varían según las características situacionales y el contexto social más amplio.</t>
  </si>
  <si>
    <t xml:space="preserve">Probabilidad/tendencia a iniciar negociaciones</t>
  </si>
  <si>
    <t xml:space="preserve">Los resultados principales son:
Efecto general:
Las mujeres son menos propensas a iniciar negociaciones que los hombres (g = 0.20)
La diferencia existe pero es pequeña y dependiente del contexto
Análisis de moderadores mostró:
Las diferencias de género son menores cuando:
Hay baja ambigüedad situacional sobre la propiedad de negociar
Las señales situacionales son más consistentes con el rol de género femenino
En publicaciones más recientes (tendencia decreciente de 1977 a 2016)
No se encontró relación:
Entre las diferencias de género y el grado de desigualdad de género en los países estudiados
Implicaciones:
Las diferencias en iniciar negociaciones potencialmente refuerzan:
La brecha salarial de género
El techo de cristal
La diferencia puede reducirse con intervenciones prácticas (ej: comunicar claramente que un salario es negociable)</t>
  </si>
  <si>
    <t xml:space="preserve">https://psycnet.apa.org/buy/2017-56124-001</t>
  </si>
  <si>
    <t xml:space="preserve">A meta-analysis of gender stereotypes and bias in experimental simulations of employment decision making.</t>
  </si>
  <si>
    <t xml:space="preserve">Amanda Koch; Susan D'Mello; Paul Sackett</t>
  </si>
  <si>
    <t xml:space="preserve">Canadá, Australia, Estados Unidos, Alemania, Normandia, Suecia, Israel, Malasia</t>
  </si>
  <si>
    <t xml:space="preserve">El problema principal abordado en este estudio es el sesgo de género en las decisiones laborales, específicamente examinando cómo varios factores influyen en este sesgo a través de diferentes tipos de trabajos (dominados por hombres, dominados por mujeres y trabajos con balance de género).</t>
  </si>
  <si>
    <t xml:space="preserve">El propósito fue realizar un meta-análisis de estudios experimentales para comprender cómo diferentes variables afectan el sesgo de género en los procesos de toma de decisiones organizacionales.</t>
  </si>
  <si>
    <t xml:space="preserve">La principal variable dependiente fue el sesgo de género en las decisiones laborales, específicamente:
Preferencia por hombres o mujeres en diferentes tipos de trabajo
Sesgo de congruencia de rol de género (la tendencia a preferir candidatos cuyo género coincide con la distribución típica de género en ese tipo de trabajo)
Los hallazgos clave mostraron que:
Se prefirió a los hombres para trabajos dominados por hombres
Los evaluadores masculinos mostraron un sesgo de congruencia de rol de género más fuerte
La información clara sobre alta competencia redujo el sesgo
Los tomadores de decisiones motivados mostraron menos sesgo
Los profesionales con experiencia demostraron menos sesgo que otros grupos</t>
  </si>
  <si>
    <t xml:space="preserve">Género del tomador de decisiones (evaluadores hombres vs. mujeres)
Cantidad y contenido de la información disponible
Tipo de evaluación (comparativa vs. individual)
Nivel de motivación para tomar decisiones cuidadosas
Características del estudio:
Tipo de participante (profesionales vs. estudiantes universitarios vs. adultos trabajadores)
Año de publicación
Diseño del estudio</t>
  </si>
  <si>
    <t xml:space="preserve">Los principales resultados del meta-análisis muestran un pequeño sesgo general a favor de los hombres (d = 0.08) en las decisiones de empleo. Este sesgo fue más pronunciado en trabajos dominados por hombres (d = 0.13), mientras que fue prácticamente nulo en trabajos dominados por mujeres y trabajos integrados (d = 0.02 para ambos). Los evaluadores masculinos mostraron un sesgo más fuerte a favor de los hombres (d = 0.21) que las evaluadoras femeninas (d = 0.04). La cantidad de información disponible sobre los candidatos y la motivación para tomar decisiones cuidadosas tendieron a reducir el sesgo, especialmente en trabajos dominados por hombres.</t>
  </si>
  <si>
    <t xml:space="preserve">https://psycnet.apa.org/record/2014-21414-001</t>
  </si>
  <si>
    <t xml:space="preserve">Salud mental</t>
  </si>
  <si>
    <t xml:space="preserve">DOES INTEGRATION CHANGE GENDER ATTITUDES? THE EFFECT OF RANDOMLY ASSIGNING WOMEN TO TRADITIONALLY MALE TEAMS</t>
  </si>
  <si>
    <t xml:space="preserve">Andreas Kotsadam; Dan-Olof Rooth</t>
  </si>
  <si>
    <t xml:space="preserve">Noruega</t>
  </si>
  <si>
    <t xml:space="preserve">Reclutas masculinos en el servicio militar de Noruega</t>
  </si>
  <si>
    <t xml:space="preserve">El propósito del estudio fue investigar si la exposición de hombres a mujeres en un ambiente tradicionalmente masculino (el servicio militar noruego) puede modificar las actitudes masculinas respecto a la productividad de equipos mixtos, roles de género e identidad de género, mediante la asignación aleatoria de reclutas femeninas a ciertos escuadrones durante el entrenamiento básico de 8 semanas.</t>
  </si>
  <si>
    <t xml:space="preserve">Experimento de campo con asignación aleatoria de reclutas femeninas a escuadrones militares durante el entrenamiento básico militar (boot camp) en Noruega
 Se realizó en tres batallones de la Brigada Norte del Ejército</t>
  </si>
  <si>
    <t xml:space="preserve">Duración: 8 semanas de entrenamiento básico
Los escuadrones consistían en 6 miembros en promedio
Los miembros del escuadrón:
Entrenaban juntos como unidad
Compartían cuarteles/dormitorios
Permanecían en la base durante todo el entrenamiento
Pasaban la mayoría del tiempo juntos (día y noche)</t>
  </si>
  <si>
    <t xml:space="preserve">La aleatorización se realizó a nivel de tropa usando una plantilla de Excel programada previamente
Proceso de asignación:
Primero se determinaba el número de habitaciones (6 personas por habitación)
Las mujeres eran asignadas aleatoriamente, con preferencia de 2 mujeres por habitación
Luego se asignaban aleatoriamente los hombres hasta completar el tamaño de la habitación</t>
  </si>
  <si>
    <t xml:space="preserve">Actitudes sobre equipos mixtos
Actitudes sobre roles de género
Identidad de género
Decisiones ocupacionales
Desempeño y satisfacción</t>
  </si>
  <si>
    <t xml:space="preserve">Exposición a equipos mixtos durante el entrenamiento básico</t>
  </si>
  <si>
    <t xml:space="preserve">Los resultados principales del estudio muestran que los efectos positivos observados durante el tratamiento (boot camp de 8 semanas) no persistieron a largo plazo. Específicamente, los hombres que fueron expuestos a equipos mixtos inicialmente mostraron actitudes más igualitarias, con un aumento de 14 puntos porcentuales en la aceptación del desempeño de equipos mixtos, 8 puntos porcentuales en apoyo al trabajo doméstico compartido y 14 puntos porcentuales en la aceptación de rasgos femeninos. Sin embargo, estos efectos desaparecieron completamente en la encuesta de seguimiento a los 6 meses. Además, el tratamiento no tuvo efectos negativos en el desempeño o satisfacción de los reclutas masculinos durante el entrenamiento o su posterior asignación militar, contradiciendo las preocupaciones de muchos diseñadores de políticas. Tampoco hubo efectos a largo plazo en la elección de campos de estudio, ocupaciones o lugares de trabajo con mayor proporción de mujeres después de que terminó el servicio militar.</t>
  </si>
  <si>
    <t xml:space="preserve">https://www.nber.org/system/files/working_papers/w24351/w24351.pdf</t>
  </si>
  <si>
    <t xml:space="preserve">Words matter: Experimental evidence from job applications</t>
  </si>
  <si>
    <t xml:space="preserve">Lisa Abraham; Johannes Hallermeier; Alison Stein</t>
  </si>
  <si>
    <t xml:space="preserve">la población objetivo del estudio fueron los reclutas masculinos que realizaron el servicio militar en tres batallones de la Brigada Norte del Ejército noruego durante el 2014. Específicamente, estos batallones fueron: el Segundo Batallón del Norte de Noruega, el Batallón de Artillería y el Batallón Blindado, donde se implementó la asignación aleatoria de mujeres a los escuadrones durante el entrenamiento básico militar (boot camp).</t>
  </si>
  <si>
    <t xml:space="preserve">Examinar si la reducción de requisitos y calificaciones opcionales o superfluas en los anuncios de trabajo afecta de manera diferente a hombres y mujeres en términos de su propensión a postular y determinar si esta estrategia puede aumentar la diversidad en el grupo de candidatos.</t>
  </si>
  <si>
    <t xml:space="preserve">Experimento aleatorio controlado sobre anuncios de trabajo
 Se crearon dos versiones de anuncios de trabajo:
 Versión Control: Anuncio original con todas las calificaciones
 Versión Tratamiento: Anuncio con calificaciones opcionales y superfluas eliminadas
 Se aplicó a más de 600 puestos corporativos en Uber</t>
  </si>
  <si>
    <t xml:space="preserve">Aleatorización a nivel individual
Los participantes fueron asignados aleatoriamente a una de dos condiciones:
Ver el anuncio de trabajo original (control)
Ver el anuncio de trabajo con requisitos reducidos (tratamiento)
Se complementó con una encuesta adicional a gran escala usando el RAND American Life Panel para explorar los mecanismos detrás de las diferencias de género en el comportamiento de postulación</t>
  </si>
  <si>
    <t xml:space="preserve">Tasa de postulación
Calidad/nivel de habilidad de los aplicantes
Comportamiento de postulación</t>
  </si>
  <si>
    <t xml:space="preserve">Versión del anuncio de trabajo</t>
  </si>
  <si>
    <t xml:space="preserve">Los resultados principales del estudio se pueden dividir en dos hallazgos clave:
Efecto en el volumen de aplicaciones:
Las postulaciones aumentaron en un 7% en general
Este incremento fue similar tanto para hombres como para mujeres
La reducción de requisitos afectó positivamente la tasa de postulación de ambos géneros
Efecto en el tipo de candidatos:
Se observaron diferencias por género en cuanto al nivel de habilidad de los postulantes:
Mujeres:
Atrajo a mujeres menos calificadas
Causó que algunas mujeres altamente calificadas dejaran de postular
Hombres:
Atrajo a hombres de todos los niveles de habilidad
Incluyó postulantes masculinos del extremo superior de calificaciones</t>
  </si>
  <si>
    <t xml:space="preserve">https://www.sciencedirect.com/science/article/abs/pii/S0167268124002312?via%3Dihub</t>
  </si>
  <si>
    <t xml:space="preserve">La población descrita (reclutas del Ejército noruego) es la del n.° 111, no la de este estudio sobre avisos de empleo. Celda vacía en un estudio experimental.</t>
  </si>
  <si>
    <t xml:space="preserve">Institucional/Organizacional</t>
  </si>
  <si>
    <t xml:space="preserve">The Signals We Give: Performance Feedback, Gender, and Competition</t>
  </si>
  <si>
    <t xml:space="preserve">Alexander Coutts; Boon Han Koh; Zahra Murad</t>
  </si>
  <si>
    <t xml:space="preserve">Examinar cómo el género influye en la provisión de retroalimentación bajo diferentes condiciones de información y utilidad.</t>
  </si>
  <si>
    <t xml:space="preserve">Experimento asincrónico de 3 fases con roles de asesores y asesorados</t>
  </si>
  <si>
    <t xml:space="preserve">Detalles:
Fase 1 (Asesorados):
Cuestionario demográfico
Test IQ Raven (20 preguntas)
Elicitación de creencias sobre desempeño
Fase 2 (Asesores):
Realizan mismo test IQ
Reciben perfil de asesorado (género enfatizado)
Reciben señal de desempeño (precisa/vaga/ninguna)
Eligen tipo de retroalimentación a enviar
Fase 3 (Asesorados):
Decisión de entrada a torneo
Reciben retroalimentación según tratamiento
Nueva decisión de entrada</t>
  </si>
  <si>
    <t xml:space="preserve">Aleatorización:
Asignación aleatoria a roles (asesor/asesorado)
Emparejamiento aleatorio asesor-asesorado
Asignación aleatoria a tratamientos:
Retroalimentación Instrumental (antes de decisión)
Retroalimentación No-Instrumental (después de decisión)</t>
  </si>
  <si>
    <t xml:space="preserve">Retención de retroalimentación
Disposición a dar retroalimentación negativa por género
Diferencias en provisión de retroalimentación entre asesores masculinos y femeninos</t>
  </si>
  <si>
    <t xml:space="preserve">Condiciones de retroalimentación que varían en:
Señales de desempeño (completas vs. incompletas)
Instrumentalidad para toma de decisiones
Género del receptor</t>
  </si>
  <si>
    <t xml:space="preserve">Los resultados principales muestran sesgos de género en la provisión de retroalimentación, con efectos estadísticamente significativos:
En el tratamiento no instrumental, los asesores son 16.7 puntos porcentuales más propensos a ocultar señales negativas vagas a mujeres que a hombres (p &lt; 0.10)
Este efecto es impulsado por asesores masculinos, quienes:
Son más propensos a ocultar señales negativas vagas a mujeres en retroalimentación no instrumental (p &lt; 0.05)
Son más propensos a ocultar señales positivas vagas a mujeres en retroalimentación instrumental (p &lt; 0.05)
No se encontraron diferencias significativas cuando las señales eran precisas ni entre asesoras mujeres.</t>
  </si>
  <si>
    <t xml:space="preserve">https://repec.port.ac.uk/EconFinance/PBSEconFin_2024_02.pdf</t>
  </si>
  <si>
    <t xml:space="preserve">Gender Bias in Peer Performance Evaluations: Evidence from a Field Experiment</t>
  </si>
  <si>
    <t xml:space="preserve">Perihan Saygin; Thomas Knight</t>
  </si>
  <si>
    <t xml:space="preserve">Estudiantes en un curso grande de una universidad pública principal incluye tanto evaluadores pares como calificadores oficiales ciegos</t>
  </si>
  <si>
    <t xml:space="preserve">Medir sesgos de género en evaluaciones entre pares y evaluar la objetividad de las calificaciones usando asignación aleatoria de evaluadores y calificadores oficiales</t>
  </si>
  <si>
    <t xml:space="preserve">Experimento de calificación entre pares en curso de economía.</t>
  </si>
  <si>
    <t xml:space="preserve">Detalles:
4 ensayos cortos durante el semestre
Calificación por pares (no ciega) y TAs (ciega)
Rúbrica común evaluando contenido económico y calidad de escritura
Calificaciones de TAs valen 2% de nota final
Revisión por pares vale 4% para el evaluador</t>
  </si>
  <si>
    <t xml:space="preserve">En este experimento, no hay grupos de tratamiento y control tradicionales. La aleatorización ocurre en dos niveles:
Para cada ensayo:
Estudiantes son asignados aleatoriamente a evaluadores pares (no ciegos)
Estudiantes son asignados aleatoriamente a TAs (evaluadores ciegos)
La comparación principal es entre:
Calificaciones de evaluadores pares que pueden ver nombres (y potencialmente inferir género)
Calificaciones de TAs que evalúan ciegamente
Este diseño permite identificar sesgos de género al comparar las diferencias en calificaciones entre evaluadores ciegos y no ciegos, basado en el género inferido del nombre del estudiante.</t>
  </si>
  <si>
    <t xml:space="preserve">Diferencias entre calificaciones de pares y TAs</t>
  </si>
  <si>
    <t xml:space="preserve">Género inferido del nombre del estudiante</t>
  </si>
  <si>
    <t xml:space="preserve">Los resultados muestran que los evaluadores masculinos exhiben sesgos de género significativos en sus calificaciones: asignan puntajes de contenido 2.1 puntos más altos a estudiantes sin nombres femeninos (p &lt; 0.05) y calificaciones de escritura 1.5 puntos más bajas a estos mismos estudiantes. Las evaluadoras femeninas no muestran sesgos significativos. El estudio también encuentra que las calificaciones entre pares son más válidas para contenido (correlación 0.69-0.79 con calificaciones de TAs) que para escritura (correlación 0.08-0.11), y que los evaluadores de alto rendimiento tienden a asignar calificaciones más bajas (-0.37 puntos por cada punto adicional en su propio desempeño).</t>
  </si>
  <si>
    <t xml:space="preserve">https://papers.ssrn.com/sol3/papers.cfm?abstract_id=4332175</t>
  </si>
  <si>
    <t xml:space="preserve">Falta el país. Vacío en un ensayo aleatorio con resultados publicados.</t>
  </si>
  <si>
    <t xml:space="preserve">Ciclo de vida</t>
  </si>
  <si>
    <t xml:space="preserve">Gender Inequality Over the Life Cycle, Information Provision and Policy Preferences</t>
  </si>
  <si>
    <t xml:space="preserve">Casarico, Alessandra; Schuetz, Jana; Uebelmesser, Silke</t>
  </si>
  <si>
    <t xml:space="preserve">Alemania</t>
  </si>
  <si>
    <t xml:space="preserve">4,000 encuestados alemanes que se encuentran en la Población Económicamente Activa (PEA)</t>
  </si>
  <si>
    <t xml:space="preserve">Evaluar cómo la información sobre brechas de género (en ingresos y pensiones) afecta las percepciones sobre desigualdad y apoyo a políticas y analizar mecanismos y características individuales que influyen en estas percepciones</t>
  </si>
  <si>
    <t xml:space="preserve">Experimento de encuesta con provisión de información.</t>
  </si>
  <si>
    <t xml:space="preserve">Todos los grupos reportan creencias previas sobre brechas
Grupos tratamiento reciben información verdadera:
Brecha salarial: Mujeres ganan 66€ por cada 100€ de hombres
Brecha pensiones: Mujeres reciben 63€ por cada 100€ de hombres
Se miden creencias posteriores y apoyo a políticas</t>
  </si>
  <si>
    <t xml:space="preserve">4 grupos de ~1000 participantes cada uno:
Control: Sin información
T1: Info sobre brecha salarial
T2: Info sobre brecha pensiones
T3: Info sobre ambas brechas</t>
  </si>
  <si>
    <t xml:space="preserve">Percepción sobre importancia de reducir desigualdad de género
Apoyo a políticas para reducir brechas de género
Creencias posteriores sobre las brechas</t>
  </si>
  <si>
    <t xml:space="preserve">Provisión de información sobre:
Brecha salarial (T1)
Brecha de pensiones (T2)
Ambas brechas (T3)
Ninguna (Control)</t>
  </si>
  <si>
    <t xml:space="preserve">Los resultados principales muestran que los evaluadores masculinos asignan calificaciones de contenido 2.1 puntos más altas a estudiantes sin nombres que suenan femeninos, mientras que en las calificaciones de escritura favorecen a nombres femeninos por 1.5 puntos. Las evaluadoras mujeres no muestran sesgos significativos en sus calificaciones. La validez del sistema de evaluación por pares es más fuerte en contenido (correlación de 0.69-0.79 con calificaciones de profesores) que en escritura (correlación de 0.08-0.11). Además, los evaluadores con mejor desempeño tienden a asignar calificaciones más bajas, con una reducción de 0.37 puntos en contenido y 0.4 puntos en escritura por cada punto adicional en su propio desempeño. En general, los evaluadores pares asignan calificaciones más bajas que los profesores para los mismos trabajos.</t>
  </si>
  <si>
    <t xml:space="preserve">https://papers.ssrn.com/sol3/papers.cfm?abstract_id=4714282</t>
  </si>
  <si>
    <t xml:space="preserve">Los resultados son los del n.° 114 (sesgo en evaluaciones entre pares), no los de este estudio sobre brechas en el ciclo de vida. Vacío en un ensayo aleatorio con resultados publicados.</t>
  </si>
  <si>
    <t xml:space="preserve">EDUTAINMENT GENDER AND INTRA-HOUSEHOLD DECISION MAKING IN AGRICULTURE A FIELD EXPERIMENT IN KENYA</t>
  </si>
  <si>
    <t xml:space="preserve">Berber Kramer; Lilian Waithaka; Stellamaris Aju</t>
  </si>
  <si>
    <t xml:space="preserve">Kenia</t>
  </si>
  <si>
    <t xml:space="preserve">Pequeños agricultores en siete condados de Kenia</t>
  </si>
  <si>
    <t xml:space="preserve">Evaluar el impacto del "edutainment" (entretenimiento educativo) de género para reducir sesgos de género en la agricultura y mejorar la toma de decisiones conjunta en hogares de agricultores.</t>
  </si>
  <si>
    <t xml:space="preserve">Video educativo de 24 minutos llamado "The Wise Woman"</t>
  </si>
  <si>
    <t xml:space="preserve">Grupo tratamiento (54% de aldeas):
Vieron "The Wise Woman", un drama corto de 24 minutos
Mensajes clave sobre toma de decisiones conjunta, estereotipos de género y violencia doméstica
Algunos participaron en una sesión de reflexión posterior
Grupo control (46% de aldeas):
Vieron un episodio regular de "Shamba Shape Up" sin contenido relacionado con género</t>
  </si>
  <si>
    <t xml:space="preserve">Nivel de aldea:
54% de aldeas asignadas a Tratamiento
46% de aldeas asignadas a Control
Dentro del grupo Tratamiento:
Aleatorización adicional para determinar qué participantes recibían el debrief antes o después de la prueba de sesgo de género</t>
  </si>
  <si>
    <t xml:space="preserve">Sesgo de género implícito: medido por prueba de preferencia entre recomendaciones de agricultores hombres vs mujeres
Indicadores de empoderamiento (pro-WEAI), especialmente:
Autonomía en ingresos
Actitudes hacia violencia doméstica
Aporte en decisiones productivas
Control sobre uso de ingresos</t>
  </si>
  <si>
    <t xml:space="preserve">Exposición al video "The Wise Woman" vs video contro</t>
  </si>
  <si>
    <t xml:space="preserve">Efecto en sesgo de género:
Grupo control: Sesgo significativo hacia su propio género
Mujeres más propensas a seguir recomendaciones de mujeres
Hombres más propensos a seguir recomendaciones de hombres
Grupo tratamiento: Sesgo significativamente menor
Igual probabilidad de seguir recomendaciones de ambos géneros
Efecto en empoderamiento (pro-WEAI):
Aporte en decisiones productivas: +5 puntos porcentuales (estadísticamente significativo)
Otros indicadores: sin efectos significativos
Efecto del debrief:
Mayor efecto en hombres que tuvieron debrief antes del test de sesgo
Diferencia entre grupos con/sin debrief no fue estadísticamente significativa</t>
  </si>
  <si>
    <t xml:space="preserve">https://idl-bnc-idrc.dspacedirect.org/bitstreams/10c4eddb-77d8-4e2e-9399-ab6fbc86f297/download</t>
  </si>
  <si>
    <t xml:space="preserve">Vacío en un ensayo aleatorio con resultados publicados.</t>
  </si>
  <si>
    <t xml:space="preserve">Grades, Gender, and Encouragement: A Regression Discontinuity Analysis</t>
  </si>
  <si>
    <t xml:space="preserve">Owen, Ann</t>
  </si>
  <si>
    <t xml:space="preserve">La población objetivo son estudiantes universitarios de primer y segundo año que tomaron el curso introductorio de economía entre 2003-2006 en una universidad selectiva del noreste de Estados Unidos.</t>
  </si>
  <si>
    <t xml:space="preserve">El propósito del estudio es investigar cómo las calificaciones obtenidas en los cursos introductorios de economía afectan de manera diferente la decisión de especializarse en economía entre estudiantes hombres y mujeres.</t>
  </si>
  <si>
    <t xml:space="preserve">Probabilidad de elegir economía como carrera universitaria</t>
  </si>
  <si>
    <t xml:space="preserve">Calificación obtenida en el curso introductorio de economía (tanto la nota numérica como la letra A/B)</t>
  </si>
  <si>
    <t xml:space="preserve">Los resultados principales muestran que recibir una A en el curso introductorio de economía tiene un efecto significativo y positivo en la probabilidad de que las estudiantes mujeres elijan economía como carrera (aumenta 15-18 puntos porcentuales), incluso después de controlar por la calificación numérica. Este "efecto de estímulo" no se observó en estudiantes hombres. Los resultados se mantuvieron robustos al usar diferentes bandas en el análisis de regresión discontinua, al controlar por características de las secciones del curso, y se confirmaron en una muestra alternativa de una universidad liberal arts. El estudio no encontró evidencia concluyente de efectos similares para calificaciones B.</t>
  </si>
  <si>
    <t xml:space="preserve">https://www.tandfonline.com/doi/abs/10.1080/00220485.2010.486718</t>
  </si>
  <si>
    <t xml:space="preserve">Magnitude and determinants of gender-based violence among female students in Ethiopian higher educational institutions: a systematic review and meta-analysis</t>
  </si>
  <si>
    <t xml:space="preserve">Gebresilassie Tadesse; Techilo Tinsae; Girum Nakie; Gidey Rtbey; Fantahun Andualem; Mulualem Kelebie; Getasew Kibralew; Asnake Tadesse Abate; Shegaye Shumet; Mamaru Melkam; Setegn Fentahun</t>
  </si>
  <si>
    <t xml:space="preserve">Etiopía</t>
  </si>
  <si>
    <t xml:space="preserve">Estudiantes mujeres en instituciones de educación superior en Etiopía.</t>
  </si>
  <si>
    <t xml:space="preserve">Evaluar la magnitud conjunta y factores asociados con la violencia de género en estudiantes mujeres de instituciones educativas superiores en Etiopía.</t>
  </si>
  <si>
    <t xml:space="preserve">Violencia de género (VBG), incluyendo violencia sexual y física</t>
  </si>
  <si>
    <t xml:space="preserve">Factores asociados como consumo de alcohol, control familiar estricto, tener amigos bebedores</t>
  </si>
  <si>
    <t xml:space="preserve">Prevalencia:
VBG de por vida: 51.42% [IC 95%: 42.38-60.46], n=7 estudios
Violencia sexual: 46.53% [IC 95%: 39.86-53.21], n=25 estudios
Violencia física: 37.93% [IC 95%: 24.68-51.18], n=7 estudios
Factores significativamente asociados:
Para VBG de por vida:
• Testigo de abuso materno en infancia
• Falta de diálogo familiar sobre salud reproductiva
• Consumo de alcohol
• Control familiar estricto
Para violencia sexual:
• Tener amigos bebedores
• Tener pareja estable
• Múltiples parejas sexuales
• Consumo de chat (khat)</t>
  </si>
  <si>
    <t xml:space="preserve">https://www.frontiersin.org/journals/psychiatry/articles/10.3389/fpsyt.2024.1387032/full</t>
  </si>
  <si>
    <t xml:space="preserve">The Prevalence of Sexual Violence among Female Refugees in Complex Humanitarian Emergencies: a Systematic Review and Meta-analysis</t>
  </si>
  <si>
    <t xml:space="preserve">Alexander Vu; Atif Adam; Andrea Wirtz; Kiemanh Pham; Leonard Rubenstein; Nancy Glass; Chris Beyrer; Sonal Singh</t>
  </si>
  <si>
    <t xml:space="preserve">Vietnam, Liberia, Myanmar, Kosovo, Sierra Leona, Uganda, Palestina, Sudán, Azerbaiyán, Timor Oriental, Bosnia y Herzegovina, República Centroafricana, República Democrática del Congo</t>
  </si>
  <si>
    <t xml:space="preserve">Mujeres refugiadas y desplazadas internamente en contextos humanitarios complejos</t>
  </si>
  <si>
    <t xml:space="preserve">Estimar la prevalencia de violencia sexual entre refugiados y personas desplazadas en emergencias humanitarias complejas.</t>
  </si>
  <si>
    <t xml:space="preserve">Prevalencia de violencia sexual</t>
  </si>
  <si>
    <t xml:space="preserve">Variables independientes incluyen:
País de estudio
País de origen de los refugiados/desplazados
Rango de edad de participantes
Proporción de participantes femeninas
Número de mujeres en la muestra</t>
  </si>
  <si>
    <t xml:space="preserve">Los resultados principales del estudio indican que, tras revisar 1,175 citaciones, se seleccionaron 19 estudios únicos que analizaron la prevalencia de violencia sexual entre mujeres refugiadas y desplazadas internas en contextos de emergencias humanitarias complejas. Estos estudios incluyeron un total de 8,398 participantes de 14 diferentes países de origen afectados por conflictos, con un rango de edad entre 11-70 años. La prevalencia estimada de violencia sexual entre los 19 estudios seleccionados fue del 21.4% (1521/8398; IC 95%, 14.9-28.7; I2=98.3), utilizando un modelo estadístico de efectos aleatorios. Un análisis de sensibilidad mostró resultados similares entre los estudios que utilizaron muestreo aleatorio (21.0%) y los que no (21.7%), así como entre los estudios que se centraron en la violencia sexual como objetivo principal (20.7%) y los que no (22.2%).</t>
  </si>
  <si>
    <t xml:space="preserve">https://www.ncbi.nlm.nih.gov/pmc/articles/PMC4012695/</t>
  </si>
  <si>
    <t xml:space="preserve">The effect of gender on violent and nonviolent recidivism: A meta-analysis</t>
  </si>
  <si>
    <t xml:space="preserve">Collins, Rachael</t>
  </si>
  <si>
    <t xml:space="preserve">Reino Unido, Estados Unidos, Canadá</t>
  </si>
  <si>
    <t xml:space="preserve">La población objetivo del estudio comprende hombres y mujeres que han sido liberados de prisión, incluyendo tanto reincidentes violentos como no violentos. Los datos provienen de un meta-análisis que abarca 57 estudios publicados, generando 127 tamaños de efecto entre reincidentes violentos y no reincidentes, y 68 tamaños de efecto entre reincidentes violentos y reincidentes no violentos. Esta amplia base de datos permite un análisis comprensivo de diferentes perfiles de ex-reclusos, aunque se nota una limitación en los datos disponibles específicamente para mujeres.</t>
  </si>
  <si>
    <t xml:space="preserve">El estudio tiene como propósito principal comprender y analizar el fenómeno de la reincidencia (recidivismo) después de la liberación de prisión, a través de la identificación de predictores actuariales tanto para la reincidencia violenta como no violenta. Busca examinar las diferencias de género en los patrones de reincidencia y determinar qué variables (como uso de drogas/alcohol, edad y estado civil) pueden actuar como predictores. Un objetivo adicional importante es destacar la necesidad de más investigación sobre predictores de reincidencia específicamente en mujeres, dado que los datos actuales son limitados, especialmente considerando que se encontraron diferencias significativas entre géneros en los patrones de reincidencia.</t>
  </si>
  <si>
    <t xml:space="preserve">Reincidencia violenta</t>
  </si>
  <si>
    <t xml:space="preserve">Los resultados principales muestran que los reincidentes violentos, en comparación con los no reincidentes, tienen historiales criminales más extensos (d=0.56), mayor uso de drogas (d=0.30) y comportamientos antisociales más frecuentes (d=0.50), independientemente del género. Los hombres que cumplen sentencias más largas tienen menor probabilidad de reincidir violentamente, aunque este efecto no se observó en mujeres. Al comparar reincidentes violentos con reincidentes no violentos, se encontró que los violentos tienen un historial criminal más extenso (d=0.24) y más comportamientos antisociales (d=0.24), aunque específicamente en el caso de las mujeres, aquellas con más historial de violencia tendían a reincidir con crímenes no violentos. El uso de alcohol y el estado civil también fueron factores significativos, donde los reincidentes violentos mostraron mayor uso de alcohol y menor probabilidad de estar casados en comparación con los no reincidentes.</t>
  </si>
  <si>
    <t xml:space="preserve">https://www.sciencedirect.com/science/article/pii/S0047235210000966</t>
  </si>
  <si>
    <t xml:space="preserve">Engaging men to transform inequitable gender attitudes and prevent intimate partner violence: a cluster randomised controlled trial in North and South Kivu, Democratic Republic of Congo</t>
  </si>
  <si>
    <t xml:space="preserve">Julia Vaillant; Estelle Koussoubé; Danielle Roth; Rachael Pierotti; Mazeda Hossain; Kathryn L Falb</t>
  </si>
  <si>
    <t xml:space="preserve">República Democrática del Congo</t>
  </si>
  <si>
    <t xml:space="preserve">Los hombres adultos, de 18 años o más, fueron elegibles para participar en el estudio. Los criterios de inclusión adicionales incluyeron haber vivido en la comunidad durante al menos 6 meses con planes de continuar viviendo allí durante al menos 6 meses más, capacidad para participar activamente en el grupo, no participación en una evaluación continua de la programación para niñas adolescentes que estaba operativa. en algunos sitios y comprometiéndose a no perpetrar violencia mientras dure la intervención. También se entrevistó a las parejas femeninas de hombres mayores de 15 años. En el caso de los hogares polígamos, se entrevistó a la primera esposa.</t>
  </si>
  <si>
    <t xml:space="preserve">Entender la efectividad del programa EMAP (Engaging Men through Accountable Practice)</t>
  </si>
  <si>
    <t xml:space="preserve">EMAP (Engaging Men through Accountable Practice)
 Intervención grupal para hombres a través de sesiones de discusión</t>
  </si>
  <si>
    <t xml:space="preserve">Formato:
Discusiones grupales semanales
16 semanas de duración
Sesiones de 3 horas
Facilitadores masculinos entrenados
Contenido:
Temas sobre masculinidad
Tipos, causas y consecuencias de la violencia contra mujeres y niñas
Oportunidades de modelado positivo
Reflexión sobre poder y privilegio
Características adicionales:
Participación voluntaria
Se establecieron grupos de mujeres antes de iniciar los grupos de hombres
Retroalimentación de los grupos de mujeres se incorporaba en el enfoque
Grupo control recibió actividades alternativas no relacionadas con género (cría de animales, clases de manejo, métodos de agricultura)</t>
  </si>
  <si>
    <t xml:space="preserve">Ensayo controlado aleatorizado de dos brazos, con pares emparejados y por clusters
30 comunidades inicialmente (quedaron 28 por problemas de seguridad)
14 comunidades control y 14 de tratamiento
Aleatorización a nivel de aldea dentro de cada par de villages emparejados
Los sitios fueron seleccionados donde operaba la programación de empoderamiento de mujeres del IRC
Los sitios fueron emparejados según características sociodemográficas</t>
  </si>
  <si>
    <t xml:space="preserve">Reportes de violencia física/sexual por parte de las mujeres
Intención de los hombres de cometer violencia</t>
  </si>
  <si>
    <t xml:space="preserve">Participación en el programa EMAP (Engaging Men through Accountable Practice)</t>
  </si>
  <si>
    <t xml:space="preserve">Resultados principales:
Efectos en hombres que participaron en EMAP (vs grupo control):
Reducción significativa en la intención de cometer violencia (β=−0.76; p&lt;0.01)
Menor acuerdo con justificaciones para golpear a la esposa (OR=0.59; p&lt;0.01)
Mayor acuerdo con el derecho de la mujer a rechazar relaciones sexuales (OR=1.47; p&lt;0.05)
Efectos en las mujeres parejas de participantes:
No hubo diferencias significativas en experiencias de violencia física/sexual (OR=0.95; p=0.71)
Mejora significativa en la calidad de la relación (β=0.28; p&lt;0.05)
Reducción significativa en comportamientos masculinos negativos (β=−0.32; p&lt;0.01)</t>
  </si>
  <si>
    <t xml:space="preserve">https://gh.bmj.com/content/5/5/e002223.abstract</t>
  </si>
  <si>
    <t xml:space="preserve">Preventing violence against refugee adolescent girls: findings from a cluster randomised controlled trial in Ethiopia</t>
  </si>
  <si>
    <t xml:space="preserve">Lindsay Stark; Khudejha Asghar; Ilana Seff; Gary Yu; Teame Tesfay Gessesse; Leora Ward; Asham Assazenew Baysa; Amy Neiman; Kathryn L Falb</t>
  </si>
  <si>
    <t xml:space="preserve">Las participantes fueron 919 niñas refugiadas sudanesas y sursudanesas entre 13 y 19 años que vivían en campos de refugiados en Etiopía. La muestra fue dividida en 31 clusters, con una distribución de 457 niñas en el grupo de intervención y 462 en el grupo control. Adicionalmente, se incluyó la participación de sus cuidadores para sesiones complementarias.</t>
  </si>
  <si>
    <t xml:space="preserve">El estudio buscó investigar la eficacia de un programa que combinaba habilidades para la vida y espacios seguros, diseñado para reducir las experiencias de violencia interpersonal en niñas adolescentes dentro de un contexto de refugiados. Se evaluó como resultado primario la exposición a violencia sexual en los últimos 12 meses, y como resultados secundarios se incluyeron diversas formas de violencia (sexual, física y emocional), sexo transaccional, matrimonio infantil, sentimientos de seguridad, actitudes sobre ritos de paso y percepciones de apoyo social.</t>
  </si>
  <si>
    <t xml:space="preserve">La intervención COMPASS</t>
  </si>
  <si>
    <t xml:space="preserve">La intervención COMPASS consistió en dos componentes principales:
Sesiones de habilidades para la vida para adolescentes:
Sesiones semanales en espacios seguros
45-60 minutos de contenido facilitado y 30 minutos de tiempo no estructurado
Total de 30 sesiones grupales presenciales
Facilitadas por mentoras refugiadas de 18-30 años que hablaban los mismos idiomas
Temas: comunicación, construcción de amistades, concientización sobre violencia de género (GBV) y salud sexual/reproductiva
Grupos de discusión para cuidadores:
8 sesiones mensuales
Temas: habilidades de comunicación, apoyo a adolescentes, comprensión de violencia y abuso
Facilitados por personal del IRC con ayuda de traductores</t>
  </si>
  <si>
    <t xml:space="preserve">Formación de los clusters:
Se formaron 62 clusters de programa con 10-20 niñas cada uno
Los clusters se formaron basándose en: proximidad del hogar, edad (13-14 años o 15-19 años) y lengua primaria
Promedio de 15 niñas por cluster
Proceso de aleatorización:
La Universidad de Columbia realizó la aleatorización
Se asignaron 31 clusters al grupo de intervención y 31 al grupo control (lista de espera)
Se utilizó una distribución uniforme en R para la aleatorización
Las hermanas fueron asignadas al mismo brazo de tratamiento para reducir la contaminación</t>
  </si>
  <si>
    <t xml:space="preserve">Principal:
Exposición a violencia sexual en los últimos 12 meses
Secundarias:
Diferentes formas de violencia sexual
Violencia física
Violencia emocional
Sexo transaccional
Matrimonio infantil
Sentimientos de seguridad
Actitudes sobre ritos de paso
Percepciones de apoyo social</t>
  </si>
  <si>
    <t xml:space="preserve">Programa de intervención que incluía:
30 sesiones de habilidades para la vida en espacios seguros
8 sesiones complementarias para cuidadore</t>
  </si>
  <si>
    <t xml:space="preserve">Los resultados del estudio mostraron que la intervención COMPASS, realizada con 919 adolescentes refugiadas, no tuvo un efecto significativo en la reducción de la violencia sexual, física o emocional en los 12 meses posteriores a la intervención. Sin embargo, el programa sí logró impactos positivos en otros aspectos: las participantes del grupo de intervención mostraron actitudes más favorables hacia la educación (creyendo que las niñas deberían completar un año adicional de escolaridad), mayor probabilidad de creer que las niñas deberían casarse y tener su primer hijo después de los 18 años, y desarrollaron redes de apoyo social más sólidas (1.71 veces más probabilidades de reportar tener amigas de su edad y 1.997 veces más probabilidades de tener una mujer adulta de confianza fuera de la familia). Además, un análisis exploratorio reveló que la intervención tuvo un efecto positivo en reducir el matrimonio infantil específicamente entre las niñas que ya estaban casadas al inicio del estudio.</t>
  </si>
  <si>
    <t xml:space="preserve">https://gh.bmj.com/content/3/5/e000825.abstract</t>
  </si>
  <si>
    <t xml:space="preserve">A Mobile Intervention to Link Young Female Entertainment Workers in Cambodia to Health and Gender-Based Violence Services: Randomized Controlled Trial</t>
  </si>
  <si>
    <t xml:space="preserve">Carinne Brody; Pheak Chhoun; Sovannary Tuot; Anne E Fehrenbacher; Alexander Moran; Dallas Swendeman; Siyan Yi</t>
  </si>
  <si>
    <t xml:space="preserve">Camboya</t>
  </si>
  <si>
    <t xml:space="preserve">La población objetivo fueron las trabajadoras del entretenimiento femeninas (FEWs) en Camboya, un grupo particularmente vulnerable que enfrenta múltiples desafíos de salud. Este grupo se caracteriza por tener tasas más altas de VIH, infecciones de transmisión sexual, angustia psicológica, abuso de sustancias y violencia de género en comparación con la población femenina general. Su condición de población oculta y estigmatizada hace especialmente difícil alcanzarlas con servicios de salud y educación.</t>
  </si>
  <si>
    <t xml:space="preserve">El estudio buscó evaluar la eficacia de la intervención Mobile Link, una iniciativa diseñada para mejorar la salud de las trabajadoras del entretenimiento femeninas (FEWs) en Camboya. El objetivo específico era conectar a estas trabajadoras con servicios existentes de VIH, salud sexual y reproductiva, y servicios relacionados con la violencia de género, a través de una intervención basada en mensajes de texto y voz.</t>
  </si>
  <si>
    <t xml:space="preserve">Mobile Link es una intervención basada en mensajes móviles (SMS/mensajes de voz) diseñada para proporcionar información de salud y vincular a las trabajadoras del entretenimiento femeninas con servicios de salud. La intervención fue informada por teorías de cambio de comportamiento e investigación formativa extensa.</t>
  </si>
  <si>
    <t xml:space="preserve">DETALLES DE LA INTERVENCIÓN:
Componentes principales:
180 mensajes sobre 10 temas de salud identificados como prioritarios
Entrega de mensajes dos veces por semana durante 60 semanas
Temas cubiertos: cáncer cervical, anticoncepción, información general de salud, VIH/ITS, aborto espontáneo, embarazo, uso de alcohol en el trabajo, terminación del embarazo, higiene y salud vaginal, y violencia de género
Opción de recibir mensajes vía SMS o mensaje de voz
Mensajes en caracteres Khmer o Khmer romanizado
Cada mensaje de salud seguido por una opción de conexión con un trabajador de extensión
Grupo control:
Recibió atención estándar existente
Consejería cara a cara
Pruebas gratuitas de VIH/ITS y condones
Acceso a líneas telefónicas gratuitas con consejeros capacitados</t>
  </si>
  <si>
    <t xml:space="preserve">DISEÑO DE ALEATORIZACIÓN:
Método de muestreo:
Muestra objetivo: 600 participantes
Selección de lista de más de 4000 FEWs
Estratificación por sitio (5 sitios) y grupo de edad (18-24 y 25-30 años)
120 FEWs seleccionadas por sitio:
60 del grupo 18-24 años
60 del grupo 25-30 años
Asignación:
Distribución equitativa entre grupos:
300 en grupo intervención
300 en grupo control
60 participantes por brazo en cada uno de los 5 sitios
Uso de generador de números aleatorios para la selección</t>
  </si>
  <si>
    <t xml:space="preserve">Variables Primarias:
Pruebas de VIH
Pruebas de ITS cuando hay síntomas
Uso de anticonceptivos
Uso constante de condón con parejas no pagadas
Uso constante de condón con parejas pagadas
Variables Secundarias:
Contacto con trabajadores de extensión
Utilización de referencias acompañadas
Bebida forzada en el trabajo
Respuestas a la violencia de género y aceptación de la violencia de género</t>
  </si>
  <si>
    <t xml:space="preserve">Intervención Mobile Link</t>
  </si>
  <si>
    <t xml:space="preserve">Los resultados del estudio mostraron que la intervención no tuvo un efecto significativo en la reducción de la violencia sexual (aOR=0.96, IC 95% 0.59-1.57), ni en otras formas específicas de violencia sexual, física, emocional o sexo transaccional. Sin embargo, se encontraron efectos positivos en otros aspectos: las participantes del grupo de intervención mostraron mayor probabilidad de creer que las niñas deberían completar un año adicional de escolaridad (β=1.08, IC 95% 0.44-1.761, p=0.001), mayor probabilidad de creer que una niña debería casarse después de los 18 años (aOR=1.88, IC 95% 1.07-3.28, p=0.027) y tener su primer hijo después de los 18 años (aOR=2.04, IC 95% 1.25-3.34, p=0.005). Además, las niñas en la intervención mostraron mayores probabilidades de tener amigos de su edad (aOR=1.71, IC 95% 1.18-2.49, p=0.005) y de tener una mujer adulta de confianza fuera de la familia (aOR=1.997, IC 95% 1.44-2.76, p&lt;0.001). Un hallazgo importante en análisis exploratorios fue que, entre las niñas que ya estaban casadas al inicio del estudio, aquellas en el grupo de intervención tuvieron menores probabilidades de seguir casadas al final del estudio (OR=0.57, IC 95% 0.34-0.95, p=0.032) en comparación con el grupo control.</t>
  </si>
  <si>
    <t xml:space="preserve">https://www.jmir.org/2022/1/e27696/</t>
  </si>
  <si>
    <t xml:space="preserve">Working with men to prevent intimate partner violence in a conflict-affected setting: a pilot cluster randomized controlled trial in rural Côte d’Ivoire</t>
  </si>
  <si>
    <t xml:space="preserve">Mazeda Hossain; Cathy Zimmerman; Ligia Kiss; Tanya Abramsky; Drissa Kone; Monika Bakayoko-Topolska; Jeannie Annan; Heidi Lehmann; Charlotte Watts</t>
  </si>
  <si>
    <t xml:space="preserve">Costa de Marfil</t>
  </si>
  <si>
    <t xml:space="preserve">La población objetivo del estudio consistió en parejas heterosexuales ubicadas en 12 comunidades de Costa de Marfil, distribuidas estratégicamente en tres zonas geopolíticas diferentes: áreas controladas por el gobierno, zonas buffer administradas por la ONU y territorios bajo control rebelde. Específicamente, el estudio se enfocó en hombres que participarían en grupos de discusión de 16 semanas sobre prevención de violencia de pareja íntima (IPV) y sus parejas mujeres, quienes servirían como fuente principal para medir el impacto de la intervención a través de sus reportes de experiencias de IPV.</t>
  </si>
  <si>
    <t xml:space="preserve">El objetivo específico fue informar la programación de prevención de violencia basada en género en entornos afectados por conflictos, dado el limitado conocimiento actual sobre cómo prevenir la IPV en zonas de guerra.</t>
  </si>
  <si>
    <t xml:space="preserve">Se llamó "Men &amp; Women in Partnership Initiative"
 Consistía en Grupos de Discusión para Hombres usando un curriculum de 16 sesiones</t>
  </si>
  <si>
    <t xml:space="preserve">Abierto a hombres de 15+ años en la comunidad
Limitado a 30 hombres por sitio
Participación voluntaria sin incentivos
Si había más de 30 voluntarios, se usaba lotería para selección
Los facilitadores recibieron 6 semanas de entrenamiento
Se realizó una prueba piloto del curriculum antes de la implementación final</t>
  </si>
  <si>
    <t xml:space="preserve">Ensayo controlado aleatorizado por conglomerados (CRT)
Se identificaron 12 sitios (aldeas) en 6 distritos administrativos
En cada distrito se seleccionaron dos aldeas pareadas por:
Tamaño de población
Características sociodemográficas
Separadas geográficamente para evitar contaminación
De cada par, una aldea fue asignada aleatoriamente a:
Intervención: Programa comunitario estándar + Grupos de Discusión para Hombres
Control: Solo programa comunitario estándar
Se realizaron encuestas antes de la intervención y un año después de finalizada</t>
  </si>
  <si>
    <t xml:space="preserve">Experiencias de violencia física y/o sexual de pareja íntima en los últimos 12 meses (reportado por mujeres)
Intención de los hombres de usar violencia física contra la pareja
Actitudes de los hombres hacia la violencia sexual (creencia de que la mujer puede rechazar sexo)
Uso de habilidades de manejo de hostilidad y conflictos por parte de los hombres
Participación de los hombres en tareas domésticas tradicionalmente realizadas por mujeres</t>
  </si>
  <si>
    <t xml:space="preserve">La intervención "Men &amp; Women in Partnership Initiative"</t>
  </si>
  <si>
    <t xml:space="preserve">De acuerdo a los resultados del estudio, aunque hubo una reducción en la violencia física y sexual reportada por las mujeres en las comunidades de intervención (ARR = 0.52, IC 95% 0.18 - 1.51), esta tendencia no fue estadísticamente significativa. Sin embargo, el programa sí logró impactos estadísticamente significativos en dos aspectos: los hombres que participaron reportaron un mayor uso de habilidades positivas para manejar conflictos y hostilidad (ARR 1.30, IC 95% 1.06 - 1.58) y también reportaron una mayor participación en las tareas domésticas tradicionalmente consideradas femeninas (ARR 2.47, IC 95% 1.24 - 4.90); adicionalmente, se observó una tendencia a la disminución en la intención de los hombres de cometer violencia física contra su pareja (ARR 0.83, IC 95% 0.66 - 1.06) y un aumento en la creencia de que la mujer tiene derecho a rechazar relaciones sexuales bajo cualquier circunstancia (ARR 1.21, IC 95% 0.77 - 1.91), aunque estos últimos cambios tampoco fueron estadísticamente significativos.</t>
  </si>
  <si>
    <t xml:space="preserve">https://link.springer.com/article/10.1186/1471-2458-14-339</t>
  </si>
  <si>
    <t xml:space="preserve">RCT evaluation of Skhokho: A holistic school intervention to prevent gender-based violence among South African Grade 8s</t>
  </si>
  <si>
    <t xml:space="preserve">Sudáfrica</t>
  </si>
  <si>
    <t xml:space="preserve">La población objetivo del estudio fueron estudiantes de 8vo grado (entre 12-15 años de edad) de 24 escuelas públicas, incluyendo tanto a estudiantes que ya tenían experiencia en relaciones de pareja como aquellos que habían iniciado vida sexual</t>
  </si>
  <si>
    <t xml:space="preserve">Evaluar la efectividad de las intervenciones Skhokho (que incluían materiales de enseñanza mejorados y un programa para padres) para reducir la violencia en el noviazgo y la violencia sexual</t>
  </si>
  <si>
    <t xml:space="preserve">Estudio de dos brazos de intervención:
 Intervención escolar
 Intervención escolar + familiar</t>
  </si>
  <si>
    <t xml:space="preserve">Detalle de la intervención:
Intervención Escolar:
Materiales mejorados para el curso de Orientación para la Vida (LO)
Capacitación a profesores
Implementado durante clases regulares
Dirigido a todos los estudiantes de 8vo grado, independiente de su participación en el estudio
Intervención Familiar:
Talleres para cuidadores y adolescentes
Clubes escolares en el segundo año
Facilitado por personal del proyecto en pares (mayores con cuidadores, jóvenes con adolescentes)
Sesiones realizadas en la escuela los fines de semana
Incluía incentivos: refrigerios y reembolso de transporte (R50 para cuidadores, R20 para adolescentes)</t>
  </si>
  <si>
    <t xml:space="preserve">Diseño de aleatorización:
24 escuelas como clusters/conglomerados
Criterios de elegibilidad de escuelas:
3 km de distancia entre escuelas (para evitar contaminación)
Escuelas estatales secundarias que enseñan en inglés
Dentro de 50km de la oficina SAMRC en Pretoria
Se excluyeron escuelas modelo C (elite) y de idioma Afrikaans</t>
  </si>
  <si>
    <t xml:space="preserve">IPV (Violencia de Pareja Íntima)
Efectos secundarios en grupo escolar
Ambiente escolar (reportado por maestros)</t>
  </si>
  <si>
    <t xml:space="preserve">Grupos de intervención Skhokho (que incluían materiales de enseñanza mejorados y un programa para padres)</t>
  </si>
  <si>
    <t xml:space="preserve">Los resultados del estudio, aunque sub-potenciado, mostraron que la incidencia de IPV fue menor en los brazos de intervención comparados con el control: para niños, las tasas de incidencia (IR) por 100 personas-año fueron 33.3 (control), 31.8 (escuelas) y 31.1 (familias), con ratios de tasa de incidencia ajustados (IRR) de 0.92 (IC:0.72-1.17) para escuelas y 0.90 (IC:0.71-1.13) para familias. Para niñas, las tasas fueron 29.1 (control), 26.0 (escuelas) y 26.8 (familias), con IRR de 0.84 (IC:0.66-1.07) para escuelas y 0.88 (IC:0.70-1.11) para familias. Los resultados secundarios mostraron mejoras significativas en el grupo de intervención escolar: reducción del trauma infantil (EMD=-0.73, IC:-1.41,-0.04), bullying (EMD=-0.52, IC:-0.96,-0.08) y mejores actitudes de género (EMD=0.82, IC:0.24,1.39) en niños; mientras que las niñas mostraron reducción en depresión (EMD=-0.77, IC:-1.50,-0.05) y bullying (EMD=-0.34, IC:-0.67,-0.01). El uso de condones aumentó tanto en niños (aIRR=1.35, IC:0.94-1.95) como en niñas (aIRR=1.67, IC:0.93-2.77) en el brazo escolar, y los maestros reportaron una mejora significativa del ambiente escolar en ambos brazos de intervención (EMD=1.41, IC:0.15,2.67 para escuelas; EMD=2.34, IC:1.00,3.68 para familias).</t>
  </si>
  <si>
    <t xml:space="preserve">https://pmc.ncbi.nlm.nih.gov/articles/PMC6818771/</t>
  </si>
  <si>
    <t xml:space="preserve">Los autores son los mismos del n.° 99 (otro estudio). Probablemente se copiaron por error. Vacío en un ensayo aleatorio con resultados publicados.</t>
  </si>
  <si>
    <t xml:space="preserve">Measuring Care: Gender, Empowerment, and the Care Economy</t>
  </si>
  <si>
    <t xml:space="preserve">Folbre, Nancy</t>
  </si>
  <si>
    <t xml:space="preserve">La población objetivo de este estudio se centra en las mujeres que tienen responsabilidades de cuidado de dependientes en contextos de desarrollo económico, buscando examinar y comparar estas responsabilidades con las de los hombres para establecer diferencias de género tanto en la inversión de tiempo como en los aspectos financieros del cuidado</t>
  </si>
  <si>
    <t xml:space="preserve">El estudio busca proponer formas de definir y medir el concepto de "cuidado" que permitan mejorar la comprensión del impacto que tiene el desarrollo económico sobre las mujeres. Específicamente, el objetivo es desarrollar índices que midan las diferencias de género en la responsabilidad del cuidado de dependientes, tanto en aspectos financieros como temporales.</t>
  </si>
  <si>
    <t xml:space="preserve">A partir de la revisión del documento, se puede concluir que el desarrollo de índices para medir las responsabilidades de cuidado entre géneros requiere mejoras sustanciales en la recolección y diseño de datos, proponiendo seis índices principales: Ingreso Disponible Individual, Tiempo Disponible Individual, Índice de Paridad de Gasto en Cuidados por Género, Índice de Paridad de Cuidado Directo por Género, Índice de Paridad de Cuidado General por Género y el Índice de Empoderamiento en el Cuidado por Género.</t>
  </si>
  <si>
    <t xml:space="preserve">https://doi.org/10.1080/14649880600768512</t>
  </si>
  <si>
    <t xml:space="preserve">The Care Economy: Gender and the Silent AIDS Crisis in Southern Africa</t>
  </si>
  <si>
    <t xml:space="preserve">Urdang, Stephanie</t>
  </si>
  <si>
    <t xml:space="preserve">La población objetivo de este estudio se centra principalmente en las mujeres que asumen roles de cuidado dentro de hogares afectados por el SIDA, incluyendo específicamente a aquellas que soportan una carga excesiva de trabajo al responder a las necesidades de familiares enfermos. También abarca a los miembros del hogar que participan en la economía del cuidado en el contexto de la epidemia del SIDA, con particular énfasis en las mujeres que son objeto de desigualdades de género y que están inmersas en contextos donde se implementan programas de desarrollo, tratamiento, prevención, educación, empoderamiento económico y prevención de violencia relacionados con el SIDA.</t>
  </si>
  <si>
    <t xml:space="preserve">El estudio tiene como objetivo examinar el impacto del SIDA en los roles y responsabilidades de las mujeres dentro de la "economía del cuidado" en el hogar.</t>
  </si>
  <si>
    <t xml:space="preserve">Impacto en Tratamiento contra el SIDA
Impacto en educación
Impacto en empleo/economia
Impacto en violencia</t>
  </si>
  <si>
    <t xml:space="preserve">Entrada del SIDA en el hogar
Desigualdad de género
Roles y responsabilidades de cuidado</t>
  </si>
  <si>
    <t xml:space="preserve">Los resultados muestran una clara relación entre el SIDA, la desigualdad de género y la sobrecarga en la economía del cuidado, con impactos negativos desproporcionados en las mujeres en múltiples dimensiones: salud, educación, empleo y seguridad personal.</t>
  </si>
  <si>
    <t xml:space="preserve">https://www.tandfonline.com/doi/abs/10.1080/03057070500493886</t>
  </si>
  <si>
    <t xml:space="preserve">Precarity, gender and care in the neoliberal academy</t>
  </si>
  <si>
    <t xml:space="preserve">Ivancheva, Mariya; Lynch, Kathleen; Keating, Kathryn</t>
  </si>
  <si>
    <t xml:space="preserve">Irlanda</t>
  </si>
  <si>
    <t xml:space="preserve">El estudio se centra en mujeres académicas que trabajan en el sistema de educación superior irlandés, en diferentes etapas de su carrera profesional. Específicamente, analiza dos grupos: aquellas que enfrentan precariedad laboral-contractual y están sobrerrepresentadas en posiciones de tiempo parcial y contratos de plazo fijo por optar por mantener sus responsabilidades de cuidado, y aquellas que, al cumplir con las demandas organizacionales de un mercado académico globalizado (caracterizado por ideales masculinizados de rendimiento competitivo, trabajo 24/7 y movilidad geográfica), deben marginalizar sus vidas relacionales y experimentan precariedad afectiva relacionada con el cuidado.</t>
  </si>
  <si>
    <t xml:space="preserve">El estudio examina el aumento del empleo académico precario en Irlanda, el cual surge como consecuencia de la reestructuración de la educación superior tras las iniciativas de la OCDE, las políticas gubernamentales y las medidas de austeridad post-crisis. La investigación busca demostrar cómo el enfoque en el cuidado puede aportar una nueva perspectiva al debate sobre la precariedad laboral, argumentando que una comprensión más completa de la precariedad debe considerar no solo la seguridad contractual sino también la seguridad relacional afectiva en la vida de los empleados. Además, el estudio se propone examinar la interseccionalidad entre el trabajo remunerado y el trabajo de cuidados en la vida de las mujeres académicas.</t>
  </si>
  <si>
    <t xml:space="preserve">El estudio revela un dilema donde las mujeres académicas enfrentan dos tipos de precariedad: la contractual y la afectiva. Las que priorizan la carrera académica, siguiendo el modelo de trabajador ideal disponible 24/7 y geográficamente móvil, suelen sacrificar su vida personal y familiar, experimentando precariedad afectiva. Por otro lado, las que priorizan las responsabilidades de cuidado familiar suelen verse relegadas a empleos casuales o temporales, enfrentando precariedad laboral y económica. Esta situación demuestra que la estabilidad contractual por sí sola no es suficiente para resolver los problemas derivados de la cultura laboral neoliberal en la academia, y se necesita una comprensión más compleja que considere el continuo entre vida-trabajo basado en principios de colegialidad, comunidad y cuidado.</t>
  </si>
  <si>
    <t xml:space="preserve">https://doi.org/10.1111/gwao.12350</t>
  </si>
  <si>
    <t xml:space="preserve">Gender, Care and Economics</t>
  </si>
  <si>
    <t xml:space="preserve">Gardiner, Jean</t>
  </si>
  <si>
    <t xml:space="preserve">La población estudiada son los hogares británicos, específicamente las relaciones de género y patrones de trabajo dentro de estos hogares, en el contexto de ideas y políticas relacionadas con el estado, la economía, género y cuidado.</t>
  </si>
  <si>
    <t xml:space="preserve">El estudio busca realizar una crítica radical de las teorías económicas principales (mainstream, marxistas y feministas), examinando desde la economía liberal clásica hasta los debates feministas sobre trabajo doméstico y patriarcado, con énfasis en analizar la creciente importancia de las relaciones de cuidado en el hogar y su impacto en el proceso de trabajo doméstico.</t>
  </si>
  <si>
    <t xml:space="preserve">Las relaciones de género en el hogar y los patrones de trabajo doméstico, especialmente en relación al cuidado infantil.</t>
  </si>
  <si>
    <t xml:space="preserve">Políticas e ideas políticas relacionadas con el estado, la economía, género y cuidado.</t>
  </si>
  <si>
    <t xml:space="preserve">Se concluye la creciente importancia de las relaciones de cuidado en el hogar, especialmente el cuidado infantil, como un factor determinante en la configuración del proceso de trabajo doméstico</t>
  </si>
  <si>
    <t xml:space="preserve">https://link.springer.com/book/9780333669945</t>
  </si>
  <si>
    <t xml:space="preserve">Gender, Caring and Employment in Britain</t>
  </si>
  <si>
    <t xml:space="preserve">Mckie, Linda; Bowlby, Sophia; Gregory, Susan</t>
  </si>
  <si>
    <t xml:space="preserve">Reino Unido</t>
  </si>
  <si>
    <t xml:space="preserve">El estudio se centra en diversos grupos de la sociedad, principalmente en las mujeres trabajadoras y madres británicas que se ven afectadas por las políticas actuales de empleo y cuidados.</t>
  </si>
  <si>
    <t xml:space="preserve">Este estudio tiene como objetivo examinar cómo las políticas de empleo y sociales continúan perpetuando estereotipos de género relacionados con el trabajo de cuidados, especialmente en relación con las mujeres y madres como cuidadoras naturales</t>
  </si>
  <si>
    <t xml:space="preserve">Desigualdad en el balance trabajo-hogar para las mujeres (medida en la persistencia de roles tradicionales de género donde las mujeres son las principales responsables del cuidado mientras trabajan)</t>
  </si>
  <si>
    <t xml:space="preserve">Políticas de empleo y sociales actuales (incluyendo las políticas "family-friendly", legislación sobre guarderías y permisos parentales)</t>
  </si>
  <si>
    <t xml:space="preserve">Los resultados muestran que, a pesar de mejoras en el acceso al empleo femenino, persiste la desigualdad en el balance trabajo-hogar. Las mujeres enfrentan una doble presión: la obligación de trabajar y la expectativa social de ser las principales cuidadoras. Las políticas actuales (guarderías, permisos parentales, políticas "family-friendly") han sido ineficaces para cambiar esta situación, debido principalmente a la falta de compromiso entre empleadores y gobierno. Los roles tradicionales de género permanecen arraigados, con mujeres como cuidadoras y hombres siguiendo el modelo de empleo a tiempo completo, mientras el cambio se ve obstaculizado por resistencias sociales y la priorización del trabajo remunerado sobre el cuidado.</t>
  </si>
  <si>
    <t xml:space="preserve">https://sci-hub.se/10.1017/S0047279401006262</t>
  </si>
  <si>
    <t xml:space="preserve">Reducing Gender Gaps in Access to Management Positions in Peru</t>
  </si>
  <si>
    <t xml:space="preserve">Avitable, Ciro,; Muñoz, Ana Lemos, Renata; Davis, Jonathan</t>
  </si>
  <si>
    <t xml:space="preserve">Determinar si mensajes de texto más detallados y alentadores dirigidos a mujeres candidatas elegibles pueden aumentar su participación en el Concurso de Acceso 2022 para posiciones de gestión escolar.</t>
  </si>
  <si>
    <t xml:space="preserve">Estrategia de comunicación</t>
  </si>
  <si>
    <t xml:space="preserve">Esta intervención fue diseñada para alentar a las candidatas que son elegibles a postularse para puestos de gestión puede reducir la brecha de género en la gestión escolar. Nuestro escenario es el Concurso de Acceso 2022 de Perú (en adelante, concurso). Este es un sistema centralizado para asignar puestos de gestión escolar. Si bien todos los candidatos elegibles recibirán la misma cantidad de mensajes, las mujeres en el grupo de tratamiento recibirán mensajes de texto más detallados diseñados para alentarlas a postularse al concurso. Además de la información estándar, estos mensajes de texto proporcionarán información diseñada para alentarlas a postularse (por ejemplo, enfatizando que cumplen con los requisitos, brindando ejemplos de mujeres que fueron contratadas en concursos anteriores o citas sobre los hijos de una mujer que se sienten orgullosos de ella después de ser contratada).</t>
  </si>
  <si>
    <t xml:space="preserve">T (Grupo de Tratamiento):
Mujeres elegibles reciben mensajes de texto detallados y alentadores
Contenido adicional en los mensajes:
• Énfasis en que cumplen los requisitos
• Ejemplos de mujeres contratadas en concursos anteriores
• Citas motivadoras sobre el orgullo familiar
Mismo número de mensajes que el grupo de control
C (Grupo de Control):
Reciben mensajes de texto estándar
Solo información básica sobre el concurso
Mismo número de mensajes que el grupo de tratamiento</t>
  </si>
  <si>
    <t xml:space="preserve">Tasa de aplicación de mujeres a posiciones de gestión escolar
Brecha de género en postulaciones
Percepción de idoneidad para roles de gestión
Nivel de confianza para postular a posiciones de liderazgo</t>
  </si>
  <si>
    <t xml:space="preserve">Tipo de mensajes recibidos (tratamiento vs control)
Tratamiento: Mensajes detallados/personalizados
Control: Información estándar</t>
  </si>
  <si>
    <t xml:space="preserve">Los efectos que se esperan medir son:
Cambio en la tasa de aplicación de mujeres elegibles para posiciones de gestión escolar en el Concurso de Acceso 2022 en Perú.
Reducción de la brecha de género en la gestión escolar, específicamente en las tasas de aplicación para estos puestos.
Eficacia de los mensajes de texto detallados y personalizados en la motivación de las candidatas femeninas para postular.
Impacto de diferentes tipos de información motivacional en las decisiones de las mujeres para postular, como:
Efecto de enfatizar que cumplen con los requisitos
Impacto de proporcionar ejemplos de mujeres contratadas en concursos anteriores
Influencia de citas sobre el orgullo de los hijos por sus madres contratadas
Posible cambio en la percepción de las mujeres sobre su idoneidad para roles de gestión escolar.
Potencial aumento en la confianza de las candidatas femeninas para postular a posiciones de liderazgo.
Comparación entre el grupo de tratamiento (mujeres que reciben mensajes detallados) y el grupo de control (candidatos que reciben información estándar).</t>
  </si>
  <si>
    <t xml:space="preserve">https://www.socialscienceregistry.org/trials/10120</t>
  </si>
  <si>
    <t xml:space="preserve">Falta el año. Celda vacía.</t>
  </si>
  <si>
    <t xml:space="preserve">Gender Stereotypes, Academic Skills, and Labor Market Productivity</t>
  </si>
  <si>
    <t xml:space="preserve">Martinez, Joan; Campos, Christopher</t>
  </si>
  <si>
    <t xml:space="preserve">Evaluar el impacto de un programa de sesiones formativas sobre estereotipos de género en las preferencias laborales de estudiantes de último año de secundaria en Perú.</t>
  </si>
  <si>
    <t xml:space="preserve">Sesiones formativas</t>
  </si>
  <si>
    <t xml:space="preserve">Esta intervención está diseñada para influir en las percepciones de los estudiantes sobre sus habilidades y, por extensión, en sus futuras elecciones académicas y laborales, con el objetivo de reducir las brechas de género en el mercado laboral.
Contenido del programa:
Currículo integral y personalizado
Enfocado en reconocer y superar prejuicios y estereotipos sobre habilidades y competencias laborales
Especial énfasis en disipar prejuicios de género relacionados con:
a) Tareas de comunicación e interacción (típicamente asociadas a mujeres)
b) Tareas numéricas y analíticas (estereotípicamente asociadas a hombres)
Metodología: Entrenamiento accionable (actionable training program)
Proporciona estrategias concretas para contrarrestar estereotipos de género
Busca modificar la percepción de los estudiantes sobre sus propias habilidades</t>
  </si>
  <si>
    <t xml:space="preserve">Grupo de Tratamiento (T):
125 escuelas asignadas aleatoriamente
Reciben el programa de entrenamiento de planificación de vida
Participan en sesiones interactivas tipo clase que incluyen:
• Discusiones
• Espacios de autorreflexión
• Actividades para desafiar y desmantelar prejuicios de género
El programa enfatiza el potencial igualitario de chicos y chicas en conocimiento y habilidades académicas
Grupo de Control (C):
125 escuelas restantes (de las 250 totales)
No reciben el programa de entrenamiento
Sirven como punto de comparación para evaluar el impacto de la intervención</t>
  </si>
  <si>
    <t xml:space="preserve">Preferencias laborales (análisis vs servicio)
Autopercepción de habilidades según género
Elección de trabajos no conformes al género tradicional
Capacidad de contrarrestar estereotipos
Diferencias por género en selección laboral</t>
  </si>
  <si>
    <t xml:space="preserve">Intervenciones educativas sobre estereotipos y habilidades de género</t>
  </si>
  <si>
    <t xml:space="preserve">Los efectos esperados son:
Cambio en las preferencias laborales de los estudiantes de último año de secundaria, específicamente en la elección entre pasantías orientadas al análisis versus orientadas al servicio.
Reducción de las diferencias de género en la percepción de las propias habilidades con respecto a tareas conformes al género.
Aumento en la elección de trabajos no conformes al género tradicional, especialmente entre las mujeres.
Mejora en la capacidad de los estudiantes para contrarrestar los estereotipos de género que distorsionan la percepción de sus propias habilidades.
Mayor comprensión de cómo las diferencias objetivas y autopercibidas en las habilidades de mujeres y hombres moderan la selección de trabajos conformes al género.
Generación de evidencia sobre la maleabilidad de las percepciones de género y habilidades a través de intervenciones educativas.
Obtención de información para el diseño de futuras políticas educativas orientadas a reducir las brechas de género en el mercado laboral</t>
  </si>
  <si>
    <t xml:space="preserve">https://www.socialscienceregistry.org/trials/12502</t>
  </si>
  <si>
    <t xml:space="preserve">Text messaging for mental health management during the COVID-19 pandemic</t>
  </si>
  <si>
    <t xml:space="preserve">Acosta, Gustavo, Field, Erica, Romero, Javier, Hurtado, Daniel</t>
  </si>
  <si>
    <t xml:space="preserve">Hombres elegibles para programas de violencia de pareja íntima (IPV) basado en edad, ubicación y estado de relación.</t>
  </si>
  <si>
    <t xml:space="preserve">El estudio busca proporcionar evidencia empírica sobre el impacto de la pandemia en la IPV y probar una intervención potencial para mitigar este problema en el contexto peruano.</t>
  </si>
  <si>
    <t xml:space="preserve">Campaña de mensajes de texto basada en intervenciones psicológicas para el manejo de la ira y control de impulsos.</t>
  </si>
  <si>
    <t xml:space="preserve">Detalles de la intervención:
Método de entrega: Mensajes de texto enviados cada 72 horas.
Contenido de los mensajes:
Técnicas de manejo de la ira adaptadas de programas validados
Estrategias para el control de impulsos
Información sobre mecanismos de afrontamiento para respuestas emocionales relacionadas con el estrés
Consejos para manejar conflictos interpersonales en situaciones de alto estrés
Contexto: Adaptado a circunstancias de alto estrés como el confinamiento y la crisis económica en áreas urbanas de Perú.
Componentes específicos:
Identificación de desencadenantes de conflictos
Técnicas para evitar conflictos
Métodos para regular la ira
Prácticas de comunicación saludable
Recursos adicionales: Algunos mensajes incluirán enlaces a recursos basados en Internet.
Esta intervención busca mitigar episodios de violencia proporcionando herramientas de manejo emocional y resolución de conflictos a través de una plataforma de comunicación accesible y frecuente.</t>
  </si>
  <si>
    <t xml:space="preserve">Grupo de Tratamiento (T):
Hombres que optan por recibir mensajes de texto
Reciben mensajes 3 veces por semana durante 10 semanas
Contenido: Información relevante para prevenir la violencia de pareja íntima (IPV)
Mensajes incluyen consejos sobre manejo del estrés personal y maximización de la armonía doméstica
Enfoque en regulación afectiva y reducción de episodios de violencia
Grupo de Control (C):
Hombres que optan por recibir mensajes de texto
Reciben mensajes 3 veces por semana durante 10 semanas
Contenido: Consejos generales no relacionados directamente con la regulación afectiva o reducción de violencia ("placebo")</t>
  </si>
  <si>
    <t xml:space="preserve">Respuesta a la campaña SMS
Violencia de pareja íntima
Bienestar
Búsqueda de servicios de salud</t>
  </si>
  <si>
    <t xml:space="preserve">Intervención vía SMS con mensajes cada 72 horas sobre:
Manejo del estrés y la ira
Control de impulsos
Mecanismos de afrontamiento emocional
Comunicación saludable</t>
  </si>
  <si>
    <t xml:space="preserve">Se espera medir los siguientes efectos:
Impacto de las restricciones por Covid-19 en la violencia de pareja íntima (IPV):
Cambios en la incidencia de IPV durante el confinamiento.
Variaciones en los niveles de conflicto intrafamiliar.
Factores de riesgo para IPV:
Características de las parejas con mayor riesgo de IPV durante la pandemia.
Influencia del estrés económico en la incidencia de IPV.
Efecto del confinamiento y la proximidad física prolongada en los niveles de conflicto.
Eficacia de la intervención por SMS:
Impacto de los mensajes de texto en la regulación emocional de los hombres.
Reducción de la violencia expresiva como resultado de la intervención.
Cambios en el comportamiento de denuncia:
Variaciones en la frecuencia de reportes de IPV.
Distinción entre aumento real de incidencia y cambios en el comportamiento de denuncia.
Acceso a servicios de apoyo:
Cambios en la capacidad de las víctimas para acceder a servicios de apoyo durante el confinamiento.</t>
  </si>
  <si>
    <t xml:space="preserve">https://www.socialscienceregistry.org/trials/6180</t>
  </si>
  <si>
    <t xml:space="preserve">"'Hablemos entre Patas': A Randomized-Controlled Trial of a WhatsApp Intervention to Reduce Intimate Partner Violence."</t>
  </si>
  <si>
    <t xml:space="preserve">Piras, Claudia; Field, Erica; Boyer, Christopfer; Leher, Rachel; Morrison, Andrew; De Marco, Sergio</t>
  </si>
  <si>
    <t xml:space="preserve">Hombres mayores de edad y sus parejas mujeres</t>
  </si>
  <si>
    <t xml:space="preserve">El propósito de este estudio es producir pequeños cambios en las actitudes y comportamientos de los hombres a través de contenidos diarios, ejercicios para realizar en pareja y conversaciones grupales gestionadas por un facilitador.</t>
  </si>
  <si>
    <t xml:space="preserve">Mensajería instantánea vía WhatsApp</t>
  </si>
  <si>
    <t xml:space="preserve">"Hablemos entre Patas" (HEP) es una intervención de prevención de la violencia de pareja centrada en los hombres que se ofrece a través de WhatsApp, una aplicación de mensajería instantánea, por parte de anfitriones masculinos capacitados. Durante 30 días, cada anfitrión facilita el debate sobre las normas masculinas y comparte desafíos diarios de comportamiento y desarrollo de habilidades para mejorar la dinámica de las relaciones, reducir la violencia y cambiar las actitudes de los hombres hacia la violencia contra las mujeres.</t>
  </si>
  <si>
    <t xml:space="preserve">Grupo de tratamiento:
Individuos seleccionados aleatoriamente para recibir la intervención del programa RMC
Participan en el programa aproximadamente 6 meses antes de la encuesta final
Grupo de control:
Individuos seleccionados aleatoriamente para no recibir la intervención inmediatamente
Sirven como grupo de comparación para medir los efectos del programa</t>
  </si>
  <si>
    <t xml:space="preserve">Reducción de violencia sexual en parejas</t>
  </si>
  <si>
    <t xml:space="preserve">Hablemos entre Patas (HEP)</t>
  </si>
  <si>
    <t xml:space="preserve">Reducción de la violencia sexual entre parejas:
• Antes de la intervención: 22.8% de las mujeres afectadas
• Después de la intervención: 18% de las mujeres afectadas
• Disminución total: 4.8 puntos porcentuales
Mejora en el consentimiento sexual:
• Incremento del 3% entre parejas que previamente declararon sufrir violencia física y/o sexual</t>
  </si>
  <si>
    <t xml:space="preserve">https://publications.iadb.org/es/publications/spanish/viewer/policy-brief-hel-es-sep-4-v2.pdf</t>
  </si>
  <si>
    <t xml:space="preserve">Training Local Leaders to Prevent and Reduce Domestic Violence in their Communities</t>
  </si>
  <si>
    <t xml:space="preserve">Field, Erica, Hurtado, Daniel, Schubiger, Livia, Romero, Javier</t>
  </si>
  <si>
    <t xml:space="preserve">El propósito principal de este estudio es evaluar rigurosamente el impacto de una intervención innovadora y basada en teoría para reducir y prevenir la violencia de género (VBG) en Perú</t>
  </si>
  <si>
    <t xml:space="preserve">Intervención comunitaria para la reducción y prevención de la violencia de género (VBG)</t>
  </si>
  <si>
    <t xml:space="preserve">Entrenamiento de líderes locales como voluntarios de salud comunitaria
Actividades de los voluntarios:
Prevención de VBG
Monitoreo de VBG
Reducción de VBG en sus comunidades</t>
  </si>
  <si>
    <t xml:space="preserve">Ensayo controlado aleatorizado por conglomerados
Unidad de aleatorización: Aldea
Muestra: 288 aldeas (144 tratamiento, 144 control)
1,728 miembros de aldeas como participantes</t>
  </si>
  <si>
    <t xml:space="preserve">Resultados Primarios:
Incidencia de violencia de pareja (IPV)
Salud mental y física
Resultados Secundarios:
Normas y actitudes sobre VBG
Empoderamiento femenino
Uso de servicios VBG</t>
  </si>
  <si>
    <t xml:space="preserve">Intervención de entrenamiento y actividades de voluntarios de salud comunitaria:
Capacitación a líderes locales
Actividades de prevención de VBG
Monitoreo comunitario
Estrategias de reducción de VBG</t>
  </si>
  <si>
    <t xml:space="preserve">Los efectos esperados son:
Reducción de la violencia de género (VBG) contra las mujeres en las comunidades intervenidas.
Prevención de nuevos casos de VBG.
Mejora en el monitoreo de casos de VBG a nivel comunitario.
Aumento de la capacidad local para abordar la VBG a través de la formación de líderes como voluntarios de salud comunitaria.
Generación de evidencia empírica sobre la eficacia de intervenciones contra la VBG basadas en la comunidad.
Retroalimentación para la programación de instituciones públicas en temas de VBG.
Aporte de evidencia sobre la teoría subyacente a la VBG y las intervenciones para combatirla.</t>
  </si>
  <si>
    <t xml:space="preserve">https://www.socialscienceregistry.org/trials/2629</t>
  </si>
  <si>
    <t xml:space="preserve">Servicios de prevención y atención</t>
  </si>
  <si>
    <t xml:space="preserve">“Aló, tengo un problema”: evaluación de impacto de la Línea 100 del Ministerio de la Mujer y Poblaciones Vulnerables</t>
  </si>
  <si>
    <t xml:space="preserve">Hernández, Wilson; Dador, Jennie; Cassaretto, Mónica</t>
  </si>
  <si>
    <t xml:space="preserve">Operadoras de la Línea 100 del
MIMP.</t>
  </si>
  <si>
    <t xml:space="preserve">El propósito de este estudio es estudiar el flujo de demanda (llamadas) de la Línea 100, identificando perfiles de usuarias, diseñar y evaluar el impacto de un programa anti estrés laboral de las operadoras de este servicio y diseñar y evaluar el impacto de un nuevo protocolo de atención de llamadas.</t>
  </si>
  <si>
    <t xml:space="preserve">Programa anti-SAP (Síndrome de Agotamiento Profesional) virtual para operadores de la Línea 100.</t>
  </si>
  <si>
    <t xml:space="preserve">Detalles de la intervención:
Duración: 7 semanas
Modalidad: Virtual (plataforma Moodle y Zoom)
Estructura: 3 módulos, 7 sesiones (una por semana)
Actividades:
Sincrónicas: Sesiones en vivo vía Zoom (1 hora semanal)
Asincrónicas: Tareas y ejercicios en Moodle (1 hora semanal)
Contenido: Información psicoeducativa sobre estrés, herramientas de manejo del estrés laboral, y fomento de hábitos de autocuidado
Facilitación: Una psicóloga especializada y dos psicólogos de apoyo
Herramientas: Foros, retroalimentación personalizada, ejercicios de relajación, reflexiones
El programa busca prevenir y reducir el estrés laboral crónico y el SAP en los trabajadores de la Línea 100 mediante educación y desarrollo de habilidades de manejo del estrés.</t>
  </si>
  <si>
    <t xml:space="preserve">Grupo de Tratamiento (T):
74 operadoras de la Línea 100
Participaron en el programa anti-SAP de 7 semanas
Asignación aleatoria, participación voluntaria
Recibieron intervención virtual para reducir estrés laboral
Grupo de Control (C):
72 operadoras de la Línea 100
No recibieron intervención ("business as usual")
Asignación aleatoria
Solo completaron encuestas de medición</t>
  </si>
  <si>
    <t xml:space="preserve">Tasa de casos atendidos exitosamente
Tiempo de respuesta a casos urgentes
Número de víctimas protegidas efectivamente</t>
  </si>
  <si>
    <t xml:space="preserve">Implementación del Servicio de Atención Urgente (SAU)</t>
  </si>
  <si>
    <t xml:space="preserve">Los efectos principales del programa anti-SAP (anti Síndrome de Agotamiento Profesional) fueron:
Reducción del Estrés Traumático Secundario, específicamente la fatiga emocional.
No se encontraron efectos significativos sobre el SAP ni sobre el Estrés Percibido Agudo en general.
Se hallaron efectos heterogéneos importantes:
Mayor efecto en operadoras con niveles más altos de Afrontamiento, respecto al SAP vinculado a lo personal y laboral.
Reducción del Estrés Traumático Secundario (ETS) y del Estrés Percibido Agudo en quienes tuvieron puntajes mayores en algunas sub escalas de Afrontamiento.
El programa pareció impactar más en las condiciones personales relacionadas al estrés, pero no en aquellas que dependen de factores institucionales del MIMP.
Los efectos fueron limitados, posiblemente debido a la corta duración del programa (7 semanas) y a la presencia de estresores adicionales relacionados con la pandemia.</t>
  </si>
  <si>
    <t xml:space="preserve">https://cies.org.pe/investigacion/alo-tengo-un-problema-evaluacion-de-impacto-de-la-linea-100-del-ministerio-de-la/</t>
  </si>
  <si>
    <t xml:space="preserve">Grupo de Análisis para el Desarrollo (GRADE) Consorcio de Investigación Económica y Social</t>
  </si>
  <si>
    <t xml:space="preserve">Dimensión – Igualdad de oportunidades</t>
  </si>
  <si>
    <t xml:space="preserve">Dimensión – Sistema de cuidados</t>
  </si>
  <si>
    <t xml:space="preserve">Dimensión – Violencia contra las mujeres e IGF</t>
  </si>
  <si>
    <t xml:space="preserve">Todas las dimensiones</t>
  </si>
  <si>
    <t xml:space="preserve">Mujeres</t>
  </si>
  <si>
    <t xml:space="preserve">Nulo</t>
  </si>
  <si>
    <t xml:space="preserve">Niñas, niños y adolescentes</t>
  </si>
  <si>
    <t xml:space="preserve">Mixto</t>
  </si>
  <si>
    <t xml:space="preserve">Jóvenes</t>
  </si>
  <si>
    <t xml:space="preserve">Por validar</t>
  </si>
  <si>
    <t xml:space="preserve">Negativo</t>
  </si>
  <si>
    <t xml:space="preserve">Hombres</t>
  </si>
  <si>
    <t xml:space="preserve">No aplica (no evalúa efecto)</t>
  </si>
  <si>
    <t xml:space="preserve">Personas adultas mayores</t>
  </si>
  <si>
    <t xml:space="preserve">Personas cuidadoras</t>
  </si>
  <si>
    <t xml:space="preserve">Personas con discapacidad</t>
  </si>
  <si>
    <t xml:space="preserve">Población general</t>
  </si>
  <si>
    <t xml:space="preserve">Profesionales y servidores públicos</t>
  </si>
  <si>
    <t xml:space="preserve">Otra</t>
  </si>
  <si>
    <t xml:space="preserve">Columna</t>
  </si>
  <si>
    <t xml:space="preserve">Antes</t>
  </si>
  <si>
    <t xml:space="preserve">Después</t>
  </si>
  <si>
    <t xml:space="preserve">Motivo</t>
  </si>
  <si>
    <t xml:space="preserve">Peru</t>
  </si>
  <si>
    <t xml:space="preserve">Nombres de país estandarizados, sin saltos de línea ni repetidos</t>
  </si>
  <si>
    <t xml:space="preserve">Barrón, Manuel
Basurto, Pía
Castro, Juan
Zarate, Román</t>
  </si>
  <si>
    <t xml:space="preserve">Autores separados por punto y coma, en una sola línea</t>
  </si>
  <si>
    <t xml:space="preserve">DO GENDER-NEUTRAL JOB ADS PROMOTE DIVERSITY?
EXPERIMENTAL EVIDENCE FROM LATIN AMERICA’S TECH SECTOR</t>
  </si>
  <si>
    <t xml:space="preserve">Saltos de línea y espacios sobrantes</t>
  </si>
  <si>
    <t xml:space="preserve">Del Carpio, Lucia
Fujiwara, Thomas</t>
  </si>
  <si>
    <t xml:space="preserve">Agurto, Marco 
 Serra, Danila 
 Sudipta,Sarangi</t>
  </si>
  <si>
    <t xml:space="preserve">Arela, Ronal
 Riesco, Gustavo</t>
  </si>
  <si>
    <t xml:space="preserve">Sánchez, Alan
 Favara, Marta</t>
  </si>
  <si>
    <t xml:space="preserve">Rojas, Vanessa
 Guerrero, Gabriela
 Vargas, Jimena</t>
  </si>
  <si>
    <t xml:space="preserve">Castro, Juan
 Yamada, Gustavo</t>
  </si>
  <si>
    <t xml:space="preserve">Field, Erica,
 Hurtado, Daniel
 Severino, Renzo</t>
  </si>
  <si>
    <t xml:space="preserve">Iparraguirre, Yadiraah
 Valer, Julio</t>
  </si>
  <si>
    <t xml:space="preserve">Arias, Walter
 Rivera, Renzo</t>
  </si>
  <si>
    <t xml:space="preserve">Vaccaro, Giannina
 Basurto, Maria Pia
 Beltrán, Arlette
 Montoya, Matiano</t>
  </si>
  <si>
    <t xml:space="preserve">Santos, Patrizia
 Brewer, Jessica
 Lopez, Miguel
 Paz-Soldan, Valerie
 Chaparro, Pia</t>
  </si>
  <si>
    <t xml:space="preserve">Konda, Kelika
Casrillo, Rostislav
Leon, Segundo
Silva-Santisteban, Alfonso
Salazar, Ximena
Klausner, Jeff
Coates, Thomas
Cáceres, Carlos</t>
  </si>
  <si>
    <t xml:space="preserve">Alcázar, Lorena
 Huerta, Shirley
 Távara Fernando</t>
  </si>
  <si>
    <t xml:space="preserve">Cruz, Maria
 Gil, Mirian
 Campos, Cynthia</t>
  </si>
  <si>
    <t xml:space="preserve">Guerrero, Gabriela
 Rojas, Vanessa</t>
  </si>
  <si>
    <t xml:space="preserve">Guerrero, Gabriela
 Rojas, Vanessa
 Vargas, Jimena</t>
  </si>
  <si>
    <t xml:space="preserve">Género y educacion superior 
 Una mirada al sistema universitario peruano desde las trayectorias estudiantiles</t>
  </si>
  <si>
    <t xml:space="preserve">Domínguez, Nicolás
 Vargas, Carmen</t>
  </si>
  <si>
    <t xml:space="preserve">Gender equality in Peru
Towards a Better Sharing of Paid and Unpaid Work</t>
  </si>
  <si>
    <t xml:space="preserve">Campaña, Juan 
 Gimenez, Ignacio</t>
  </si>
  <si>
    <t xml:space="preserve">C4. Sistematización de registros administrativos</t>
  </si>
  <si>
    <t xml:space="preserve">Código con el mismo formato que los demás (letra.número)</t>
  </si>
  <si>
    <t xml:space="preserve">Diaz, Ana
 Magdalena, Salas
 Piras, Claudia
 Agustina Suaya</t>
  </si>
  <si>
    <t xml:space="preserve">Arrunategui, Gabriela
 Gieseeke, Micaela</t>
  </si>
  <si>
    <t xml:space="preserve">Andersson, Matilda
 Risberg, Minna</t>
  </si>
  <si>
    <t xml:space="preserve">D.2. Sistematización de opiniones de expertos</t>
  </si>
  <si>
    <t xml:space="preserve">Sarmiento, Katherine
 Aguilar, Aracely</t>
  </si>
  <si>
    <t xml:space="preserve">D.3. Análisis de marcos teóricos o conceptuales reconocidos por la comunidad académica internacional</t>
  </si>
  <si>
    <t xml:space="preserve">Fondo de Población de las Naciones Unidas-Perú (UNFPA)
 Programa de las Naciones Unidas para el Desarrollo (PNUD)
 Organización Mundial de la Salud (OMS)
 Ministerio de Asuntos Exteriores y de Cooperación 
 Emakunde</t>
  </si>
  <si>
    <t xml:space="preserve">(vacío)</t>
  </si>
  <si>
    <t xml:space="preserve">Estudio sin intervención: se completa igual que las demás filas</t>
  </si>
  <si>
    <t xml:space="preserve">Barrantes, Roxana
 Matos-Trifu, Paulo</t>
  </si>
  <si>
    <t xml:space="preserve">Tiempos de cuidados
 Desigualdades, economía feminista y trabajo de cuidados en el Perú. Aportes para transformar un sistema en crisis</t>
  </si>
  <si>
    <t xml:space="preserve">Pérez, Leda
 Lavado, Tamia
 Velazco, Julia
 Velazco, Jackeline 
 Vásquez, Giovanna 
 Osorio, Susana
 Ñopo, Hugo 
 Alayza, Alejandra</t>
  </si>
  <si>
    <t xml:space="preserve">Rentería, José María
 Boyd, Chris</t>
  </si>
  <si>
    <t xml:space="preserve">Amarante, Verónica
 Rossel, Cecilia</t>
  </si>
  <si>
    <t xml:space="preserve">Igualdad de género en el Perú
 Hacia una mejor distribución del trabajo remunerado y no remunerado</t>
  </si>
  <si>
    <t xml:space="preserve">Instituto Nacional de Estadística e Informática (INEI)
 Ministerio de la Mujer y Poblaciones Vulnerables (MIMP)</t>
  </si>
  <si>
    <t xml:space="preserve">Hernández, Akram
 Chacón, Horacio
 Vargas, Rodrigo
 Grendas, Leandro
 Bendezu, Guido</t>
  </si>
  <si>
    <t xml:space="preserve">Roman, Victor
 Roman, Angela
 Galeas, Maryorie</t>
  </si>
  <si>
    <t xml:space="preserve">Quispe, Antonio 
 Roman, Victor
 Cornelio, Deysy
 Florez, Yohaida
 Romero, Abigail
 Vargas, Lucia
 Sedano, Claudia</t>
  </si>
  <si>
    <t xml:space="preserve">Burgos, Ruth
 Soriano, Anderson
 Bendezu, Guido
 Urrunaga, Diego
 Toro, Carlos
 Benites, Vicente</t>
  </si>
  <si>
    <t xml:space="preserve">(texto con «CopyRetryClaude can make mistakes. Please double-check responses.» al final)</t>
  </si>
  <si>
    <t xml:space="preserve">(texto sin esa frase)</t>
  </si>
  <si>
    <t xml:space="preserve">Se borró texto pegado por error desde un chat de IA</t>
  </si>
  <si>
    <t xml:space="preserve">Hernández, Wilson
 Cozzubo, Ángelo
 Aguilar, José
 Agüero, Jorge
 Mendoza, José</t>
  </si>
  <si>
    <t xml:space="preserve">Olson, Eric
 Pantzer, Robert
 Velez-Grajales, Viviana
 Wolfenzon, Denisse</t>
  </si>
  <si>
    <t xml:space="preserve">Quispe, Antonio
 Vargas, Lucía
 Sotelo, Manuel
 Rojas, Yalisse
 Sabaduche, Jose
 Navarro, Cleyber</t>
  </si>
  <si>
    <t xml:space="preserve">Svec, Joseph
 Andic, Tanja</t>
  </si>
  <si>
    <t xml:space="preserve">Gálvez, Juan
 Paz, Valerie
 Herrera, Phabiola
 DeLea, Suzanne 
 Gilman, Robert</t>
  </si>
  <si>
    <t xml:space="preserve">Castro, Rodolfo
 Cerellino, Lila
 Rivera, Renzo</t>
  </si>
  <si>
    <t xml:space="preserve">Benavides, Martin
 León, Juan
 Etesse, Manuel
 Espezúa, Lucía
 Stuart, Jimena</t>
  </si>
  <si>
    <t xml:space="preserve">Vaccaro, Giannina
 Mayorca, Ellen</t>
  </si>
  <si>
    <t xml:space="preserve">Hernández, Akram
Chacón, Horacio
Vargas, Rodrigo
Grendas, Leandro
Bendezu, Guido</t>
  </si>
  <si>
    <t xml:space="preserve">Salas, Ursula
 Campos, Luz
 Real, Jakelyn
 Usquiano, Luis
 Cahuina, Paula
 Zevallos, Alejandra
 Osada, Jorge
 Salvador, José</t>
  </si>
  <si>
    <t xml:space="preserve">Mascaro, Pedro
 García, Susana
 Munares, Oscar</t>
  </si>
  <si>
    <t xml:space="preserve">Alcázar, Lorena
 Ocampo, Diego</t>
  </si>
  <si>
    <t xml:space="preserve">Zamora, Carolain
 Caira, Brenda
 Fernandez, Daniel
 Martinez, Raisa
 Llamo, Anita
 Gálvez, Ricardo
 Urrunaga, Diego
 Toro, Carlos</t>
  </si>
  <si>
    <t xml:space="preserve">Suarez, Eliana
 McGrath, Eleanor
 Morales, Andrea
 Ordoñez, Jhoys
 Reynaga, Gumercinda</t>
  </si>
  <si>
    <t xml:space="preserve">(Un)Conditional Love in the Time of Conditional Cash Transfers:
 The Effect of the Peruvian JUNTOS Program on Spousal Abuse</t>
  </si>
  <si>
    <t xml:space="preserve">Díaz, Juan José
 Saldarriaga, Victor</t>
  </si>
  <si>
    <t xml:space="preserve">GENDER-BASED VIOLENCE IMPUNITY 
 REGIONAL STUDY: PERU CASE STUDY</t>
  </si>
  <si>
    <t xml:space="preserve">May, Swee
 Espinoza, Damarys
 Rondon, Marta
 Jimenez, Maria
 Sanchez, Elena
 Ojeda, Nely
 Sanchez, Sixto
 Williams, Michelle</t>
  </si>
  <si>
    <t xml:space="preserve">Vered Daitch
 Adi Turjeman
 Itamar Poran
 Noam Tau
 Irit Ayalon-Dangur
 Jeries Nashashibi
 Dafna Yahav
 Mical Paul
 Leonard Leibovici</t>
  </si>
  <si>
    <t xml:space="preserve">Estados Unidos de América</t>
  </si>
  <si>
    <t xml:space="preserve">Zhihui Cai
 , 
 Xitao Fan
 , 
 Jianxia Du</t>
  </si>
  <si>
    <t xml:space="preserve">Estados Unidos
 Noruega
 Reino Unido
 Taiwán
 Canadá
 China
 España,
 Liechtenstein
 Grecia
 Irán
 Malasia
 Arabia Saudita
 Estonia
 Alemania
 Jordania</t>
  </si>
  <si>
    <t xml:space="preserve">Indah Rini
 Iva Sarifah 
 Riyadi</t>
  </si>
  <si>
    <t xml:space="preserve">Peru 
 Indonesia</t>
  </si>
  <si>
    <t xml:space="preserve">Fazilat Siddiq 
 Ronny Scherer</t>
  </si>
  <si>
    <t xml:space="preserve">América
 Asia
 Australia
 Europa</t>
  </si>
  <si>
    <t xml:space="preserve">Atika Qazi
 Najmul Hasan
 Olusola Abayomi-Alli
 Glenn Hardaker
 Ronny Scherer
 Yeahia Sarker
 Sanjoy Kumar Paul
 Jaafar Zubairu Maitama</t>
  </si>
  <si>
    <t xml:space="preserve">Alice H. Eagty
 Mona G. Makhijani
 Bruce G. Klonsky</t>
  </si>
  <si>
    <t xml:space="preserve">Daniel Voyer
 Susan Voyer</t>
  </si>
  <si>
    <t xml:space="preserve">Norteamerica, Escandinavia y otros</t>
  </si>
  <si>
    <t xml:space="preserve">Alice Eagly
 Steven Karau</t>
  </si>
  <si>
    <t xml:space="preserve">Estados Unidos
 Malasya
 Grecia
 Noruega
 Taiwan
 Canadá
 Turquía
 Israel
 Inglaterra
 Japon
 Sultan
 Australia
 Suecia
 China</t>
  </si>
  <si>
    <t xml:space="preserve">Maria Caprile
 Elisabetta Addis
 Cecilia Castaño
 Ineke Klinge
 Marina Larios
 Danièle Meulders
 Jörg Müller
 Síle O’Dorchai
 Mária Palasik
 Robert Plasman
 Seppo Roivas
 Felizitas Sagebiel
 Londa Schiebinger
 Núria Vallès
 Susana Vázquez-Cupeiro</t>
  </si>
  <si>
    <t xml:space="preserve">Inglaterra
 Alemania
 Francia
 Suecia
 Dinamarca
 Austria
 España
 Italia
 Finlandia
 Grecia
 Normandía
 Portugal
 Republica Checa
 Belgica
 Eslovaquia
 Hungría
 Islandia
 Luxemburgo
 Polonia
 Lituania
 Noruega
 Eslovenia
 Estonia
 Malta
 Latvia
 Bulgaria
 Turquia
 Rumania
 Cyprus
 Suiza
 Israel
 Islandia
 Croacia</t>
  </si>
  <si>
    <t xml:space="preserve">Katharina Kugler
 Julia Reif
 Tamara Kaschner
 Felix Brodbeck</t>
  </si>
  <si>
    <t xml:space="preserve">Inglaterra
 Estados Unidos de América
 Rumania
 Alemania
 Canadá
 Noruega
 Suiza
 Grecia</t>
  </si>
  <si>
    <t xml:space="preserve">Amanda Koch
 Susan D'Mello
 Paul Sackett</t>
  </si>
  <si>
    <t xml:space="preserve">Canadá 
 Australia
 Estados Unidos de América 
 Alemania
 Australia
 Normandia
 Suecia
 Israel
 Malasya</t>
  </si>
  <si>
    <t xml:space="preserve">Andreas Kotsadam
 Dan-Olof Rooth</t>
  </si>
  <si>
    <t xml:space="preserve">Completa</t>
  </si>
  <si>
    <t xml:space="preserve">Mismo valor escrito igual en toda la columna</t>
  </si>
  <si>
    <t xml:space="preserve">Lisa Abraham
 Johannes Hallermeier
 Alison Stein</t>
  </si>
  <si>
    <t xml:space="preserve">Alexander Coutts
 Boon Han Koh
 Zahra Murad</t>
  </si>
  <si>
    <t xml:space="preserve">Perihan Saygin
 Thomas Knight</t>
  </si>
  <si>
    <t xml:space="preserve">Casarico, Alessandra
 Schuetz, Jana
 Uebelmesser, Silke</t>
  </si>
  <si>
    <t xml:space="preserve">Berber Kramer
 Lilian Waithaka
 Stellamaris Aju</t>
  </si>
  <si>
    <t xml:space="preserve">Gebresilassie Tadesse
 Techilo Tinsae
 Girum Nakie
 Gidey Rtbey
 Fantahun Andualem
 Mulualem Kelebie
 Getasew Kibralew
 Asnake Tadesse Abate
 Shegaye Shumet
 Mamaru Melkam
 Setegn Fentahun</t>
  </si>
  <si>
    <t xml:space="preserve">Alexander Vu
 Atif Adam
 Andrea Wirtz
 Kiemanh Pham
 Leonard Rubenstein
 Nancy Glass
 Chris Beyrer
 Sonal Singh</t>
  </si>
  <si>
    <t xml:space="preserve">Vietnam 
 Liberia
 Burma
 Kosovo
 Sierra Leona
 Uganda
 Palestina
 Sudan
 Azerbaiyán
 Timor Oriental
 Bosnia y Herzegovina
 República Centroafricana
 República Democrática del Congo</t>
  </si>
  <si>
    <t xml:space="preserve">Reino Unido
 Estados Unidos
 Canadá</t>
  </si>
  <si>
    <t xml:space="preserve">Julia Vaillant
 Estelle Koussoubé
 Danielle Roth
 Rachael Pierotti
 Mazeda Hossain
 Kathryn L Falb</t>
  </si>
  <si>
    <t xml:space="preserve">Lindsay Stark
 Khudejha Asghar
 Ilana Seff
 Gary Yu
 Teame Tesfay Gessesse
 Leora Ward
 Asham Assazenew Baysa
 Amy Neiman
 Kathryn L Falb</t>
  </si>
  <si>
    <t xml:space="preserve">Carinne Brody
 Pheak Chhoun
 Sovannary Tuot
 Anne E Fehrenbacher
 Alexander Moran
 Dallas Swendeman
 Siyan Yi</t>
  </si>
  <si>
    <t xml:space="preserve">Mazeda Hossain
 Cathy Zimmerman
 Ligia Kiss
 Tanya Abramsky
 Drissa Kone
 Monika Bakayoko-Topolska
 Jeannie Annan
 Heidi Lehmann
 Charlotte Watts</t>
  </si>
  <si>
    <t xml:space="preserve">Vered Daitch
 Adi Turjeman
 Itamar Poran
 Noam Tau
 Irit Ayalon-Dangur
 Jeries Nashashibi
 Dafna Yahav
 Mical Paul 
 Leonard Leibovici</t>
  </si>
  <si>
    <t xml:space="preserve">Cacao</t>
  </si>
  <si>
    <t xml:space="preserve">Decía «Cacao»; el estudio es de Sudáfrica (ver título)</t>
  </si>
  <si>
    <t xml:space="preserve">Sudafrica</t>
  </si>
  <si>
    <t xml:space="preserve">Ivancheva, Mariya 
 Lynch, Kathleen
 Keating, Kathryn</t>
  </si>
  <si>
    <t xml:space="preserve">Mckie, Linda
 Bowlby, Sophia
 Gregory, Susan</t>
  </si>
  <si>
    <t xml:space="preserve">Gran Bretaña</t>
  </si>
  <si>
    <t xml:space="preserve">Avitable, Ciro, 
Muñoz, Ana Lemos, Renata
Davis, Jonathan</t>
  </si>
  <si>
    <t xml:space="preserve">Martinez, Joan
Campos, Christopher</t>
  </si>
  <si>
    <t xml:space="preserve">Piras, Claudia
Field, Erica
Boyer, Christopfer
Leher, Rachel
Morrison, Andrew
De Marco, Sergio</t>
  </si>
  <si>
    <t xml:space="preserve">Hernández, Wilson
Dador, Jennie
Cassaretto, Mónica</t>
  </si>
  <si>
    <t xml:space="preserve">Qué revisar</t>
  </si>
  <si>
    <t xml:space="preserve">Problema</t>
  </si>
  <si>
    <t xml:space="preserve">Sugerencia</t>
  </si>
  <si>
    <t xml:space="preserve">Estado</t>
  </si>
  <si>
    <t xml:space="preserve">—</t>
  </si>
  <si>
    <t xml:space="preserve">33 filas sin lugar de publicación (n.° 92 y 99 a 130).</t>
  </si>
  <si>
    <t xml:space="preserve">Completar con la revista, editorial o repositorio.</t>
  </si>
  <si>
    <t xml:space="preserve">Pendiente</t>
  </si>
  <si>
    <t xml:space="preserve">El código C.2 tiene dos nombres («Modelos de elección discreta lineal» y «Análisis multivariado») y el C.3 también («Correlaciones» y «Diferencia simple»).</t>
  </si>
  <si>
    <t xml:space="preserve">Elegir un solo nombre por código o crear códigos nuevos.</t>
  </si>
  <si>
    <t xml:space="preserve">Las dimensiones de Violencia contra las mujeres e integrantes del grupo familiar no existían en la matriz; las asigné a partir del título, siguiendo los tipos y modalidades de la Ley N.° 30364.</t>
  </si>
  <si>
    <t xml:space="preserve">Revisar fila por fila y corregir con la lista de la hoja «Listas».</t>
  </si>
  <si>
    <t xml:space="preserve">En Igualdad de oportunidades, siete dimensiones tenían un solo estudio. Las agrupé en Salud, Participación y liderazgo, Empleo e ingresos y Enfoques transversales.</t>
  </si>
  <si>
    <t xml:space="preserve">Aceptar o ajustar la agrupación.</t>
  </si>
  <si>
    <t xml:space="preserve">Población objetivo</t>
  </si>
  <si>
    <t xml:space="preserve">Completar.</t>
  </si>
  <si>
    <t xml:space="preserve">El estudio aparece dos veces: como Igualdad de oportunidades (n.° 21) y como Violencia contra las mujeres (n.° 72).</t>
  </si>
  <si>
    <t xml:space="preserve">Elegir una temática y eliminar la otra fila.</t>
  </si>
  <si>
    <t xml:space="preserve">Completar con los resultados del estudio.</t>
  </si>
  <si>
    <t xml:space="preserve">Autor y año</t>
  </si>
  <si>
    <t xml:space="preserve">Falta autor y año.</t>
  </si>
  <si>
    <t xml:space="preserve">Se resuelve al eliminar el duplicado (n.° 62 tiene los datos).</t>
  </si>
  <si>
    <t xml:space="preserve">Revisar en el enlace (documento de GRADE de Díaz y Saldarriaga).</t>
  </si>
  <si>
    <t xml:space="preserve">Incluye nombres que no son países o no se reconocen: América, Asia, Europa.</t>
  </si>
  <si>
    <t xml:space="preserve">Reemplazar por el país correcto o mover las regiones a una nota.</t>
  </si>
  <si>
    <t xml:space="preserve">Completar o poner «Varios» si es un estudio multipaís.</t>
  </si>
  <si>
    <t xml:space="preserve">Incluye nombres que no son países o no se reconocen: Escandinavia, Norteamerica, tros.</t>
  </si>
  <si>
    <t xml:space="preserve">Incluye nombres que no son países o no se reconocen: Sultan.</t>
  </si>
  <si>
    <t xml:space="preserve">Incluye nombres que no son países o no se reconocen: Normandia.</t>
  </si>
  <si>
    <t xml:space="preserve">La población descrita (reclutas del Ejército noruego) es la del n.° 111, no la de este estudio sobre avisos de empleo.</t>
  </si>
  <si>
    <t xml:space="preserve">Revisar en el enlace y reemplazar.</t>
  </si>
  <si>
    <t xml:space="preserve">Celda vacía en un estudio experimental.</t>
  </si>
  <si>
    <t xml:space="preserve">Completar con la intervención evaluada.</t>
  </si>
  <si>
    <t xml:space="preserve">Estado de la evaluación</t>
  </si>
  <si>
    <t xml:space="preserve">Probablemente «Completo».</t>
  </si>
  <si>
    <t xml:space="preserve">Los resultados son los del n.° 114 (sesgo en evaluaciones entre pares), no los de este estudio sobre brechas en el ciclo de vida.</t>
  </si>
  <si>
    <t xml:space="preserve">Los autores son los mismos del n.° 99 (otro estudio). Probablemente se copiaron por error.</t>
  </si>
  <si>
    <t xml:space="preserve">Revisar en el enlace; el artículo de Skhokho (PLOS ONE, 2019) es de Jewkes y otros.</t>
  </si>
  <si>
    <t xml:space="preserve">Revisar en el enlace.</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</si>
</sst>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5"/>
      <color rgb="FF26306B"/>
      <name val="Arial"/>
      <family val="0"/>
      <charset val="1"/>
    </font>
    <font>
      <sz val="10"/>
      <color rgb="FF4A5068"/>
      <name val="Arial"/>
      <family val="0"/>
      <charset val="1"/>
    </font>
    <font>
      <b val="true"/>
      <sz val="12"/>
      <color rgb="FF26306B"/>
      <name val="Arial"/>
      <family val="0"/>
      <charset val="1"/>
    </font>
    <font>
      <sz val="10"/>
      <name val="Arial"/>
      <family val="0"/>
      <charset val="1"/>
    </font>
    <font>
      <b val="true"/>
      <sz val="10"/>
      <name val="Arial"/>
      <family val="0"/>
      <charset val="1"/>
    </font>
    <font>
      <b val="true"/>
      <sz val="10"/>
      <color rgb="FFFFFFFF"/>
      <name val="Arial"/>
      <family val="0"/>
      <charset val="1"/>
    </font>
    <font>
      <b val="true"/>
      <sz val="10"/>
      <color rgb="FF141A3A"/>
      <name val="Arial"/>
      <family val="0"/>
      <charset val="1"/>
    </font>
    <font>
      <u val="single"/>
      <sz val="10"/>
      <color rgb="FF1D7489"/>
      <name val="Arial"/>
      <family val="0"/>
      <charset val="1"/>
    </font>
    <font>
      <sz val="10"/>
      <color rgb="FF8A8FA3"/>
      <name val="Arial"/>
      <family val="0"/>
      <charset val="1"/>
    </font>
    <font>
      <sz val="10"/>
      <name val="Arial"/>
      <family val="2"/>
    </font>
  </fonts>
  <fills count="9">
    <fill>
      <patternFill patternType="none"/>
    </fill>
    <fill>
      <patternFill patternType="gray125"/>
    </fill>
    <fill>
      <patternFill patternType="solid">
        <fgColor rgb="FFFFF2A8"/>
        <bgColor rgb="FFFFF4E0"/>
      </patternFill>
    </fill>
    <fill>
      <patternFill patternType="solid">
        <fgColor rgb="FFDCEEF3"/>
        <bgColor rgb="FFD9DCE6"/>
      </patternFill>
    </fill>
    <fill>
      <patternFill patternType="solid">
        <fgColor rgb="FFFFF4E0"/>
        <bgColor rgb="FFFFFFFF"/>
      </patternFill>
    </fill>
    <fill>
      <patternFill patternType="solid">
        <fgColor rgb="FFFBD5D2"/>
        <bgColor rgb="FFD9DCE6"/>
      </patternFill>
    </fill>
    <fill>
      <patternFill patternType="solid">
        <fgColor rgb="FF26306B"/>
        <bgColor rgb="FF003366"/>
      </patternFill>
    </fill>
    <fill>
      <patternFill patternType="solid">
        <fgColor rgb="FF2A96AD"/>
        <bgColor rgb="FF1D7489"/>
      </patternFill>
    </fill>
    <fill>
      <patternFill patternType="solid">
        <fgColor rgb="FFF2A93B"/>
        <bgColor rgb="FFFFCC00"/>
      </patternFill>
    </fill>
  </fills>
  <borders count="2">
    <border diagonalUp="false" diagonalDown="false">
      <left/>
      <right/>
      <top/>
      <bottom/>
      <diagonal/>
    </border>
    <border diagonalUp="false" diagonalDown="false">
      <left style="thin">
        <color rgb="FFD9DCE6"/>
      </left>
      <right style="thin">
        <color rgb="FFD9DCE6"/>
      </right>
      <top style="thin">
        <color rgb="FFD9DCE6"/>
      </top>
      <bottom style="thin">
        <color rgb="FFD9DC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9" fillId="6" borderId="0" xfId="0" applyFont="true" applyBorder="false" applyAlignment="true" applyProtection="false">
      <alignment horizontal="general" vertical="center" textRotation="0" wrapText="true" indent="0" shrinkToFit="false"/>
      <protection locked="true" hidden="false"/>
    </xf>
    <xf numFmtId="164" fontId="9" fillId="6"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26306B"/>
          <bgColor rgb="FF000000"/>
        </patternFill>
      </fill>
    </dxf>
    <dxf>
      <fill>
        <patternFill patternType="solid">
          <bgColor rgb="FF000000"/>
        </patternFill>
      </fill>
    </dxf>
    <dxf>
      <fill>
        <patternFill patternType="solid">
          <fgColor rgb="FF8A8FA3"/>
          <bgColor rgb="FF000000"/>
        </patternFill>
      </fill>
    </dxf>
    <dxf>
      <fill>
        <patternFill patternType="solid">
          <fgColor rgb="FFFFFFFF"/>
          <bgColor rgb="FF000000"/>
        </patternFill>
      </fill>
    </dxf>
    <dxf>
      <fill>
        <patternFill patternType="solid">
          <fgColor rgb="FFFBD5D2"/>
          <bgColor rgb="FF000000"/>
        </patternFill>
      </fill>
    </dxf>
    <dxf>
      <fill>
        <patternFill patternType="solid">
          <fgColor rgb="FF2A96AD"/>
          <bgColor rgb="FF000000"/>
        </patternFill>
      </fill>
    </dxf>
    <dxf>
      <fill>
        <patternFill patternType="solid">
          <fgColor rgb="FFDCEEF3"/>
          <bgColor rgb="FF000000"/>
        </patternFill>
      </fill>
    </dxf>
    <dxf>
      <fill>
        <patternFill patternType="solid">
          <fgColor rgb="FFFFF2A8"/>
          <bgColor rgb="FF000000"/>
        </patternFill>
      </fill>
    </dxf>
    <dxf>
      <fill>
        <patternFill patternType="solid">
          <fgColor rgb="FFF2A93B"/>
          <bgColor rgb="FF000000"/>
        </patternFill>
      </fill>
    </dxf>
    <dxf>
      <fill>
        <patternFill patternType="solid">
          <fgColor rgb="FFFFF4E0"/>
          <bgColor rgb="FF000000"/>
        </patternFill>
      </fill>
    </dxf>
    <dxf>
      <fill>
        <patternFill patternType="solid">
          <fgColor rgb="FF141A3A"/>
          <bgColor rgb="FF000000"/>
        </patternFill>
      </fill>
    </dxf>
    <dxf>
      <fill>
        <patternFill patternType="solid">
          <fgColor rgb="FF1D748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7489"/>
      <rgbColor rgb="FFC0C0C0"/>
      <rgbColor rgb="FF808080"/>
      <rgbColor rgb="FF9999FF"/>
      <rgbColor rgb="FF993366"/>
      <rgbColor rgb="FFFFF4E0"/>
      <rgbColor rgb="FFDCEEF3"/>
      <rgbColor rgb="FF660066"/>
      <rgbColor rgb="FFFF8080"/>
      <rgbColor rgb="FF0066CC"/>
      <rgbColor rgb="FFD9DCE6"/>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BD5D2"/>
      <rgbColor rgb="FF3366FF"/>
      <rgbColor rgb="FF33CCCC"/>
      <rgbColor rgb="FF99CC00"/>
      <rgbColor rgb="FFFFCC00"/>
      <rgbColor rgb="FFF2A93B"/>
      <rgbColor rgb="FFFF6600"/>
      <rgbColor rgb="FF4A5068"/>
      <rgbColor rgb="FF8A8FA3"/>
      <rgbColor rgb="FF003366"/>
      <rgbColor rgb="FF2A96AD"/>
      <rgbColor rgb="FF003300"/>
      <rgbColor rgb="FF333300"/>
      <rgbColor rgb="FF993300"/>
      <rgbColor rgb="FF993366"/>
      <rgbColor rgb="FF26306B"/>
      <rgbColor rgb="FF141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unesdoc.unesco.org/ark:/48223/pf0000374775" TargetMode="External"/><Relationship Id="rId3" Type="http://schemas.openxmlformats.org/officeDocument/2006/relationships/hyperlink" Target="https://www.razarate.com/_files/ugd/c322b8_e7e289366c6041ae84e077fdc856f8d0.pdf" TargetMode="External"/><Relationship Id="rId4" Type="http://schemas.openxmlformats.org/officeDocument/2006/relationships/hyperlink" Target="https://www.nber.org/papers/w31314" TargetMode="External"/><Relationship Id="rId5" Type="http://schemas.openxmlformats.org/officeDocument/2006/relationships/hyperlink" Target="https://cies.org.pe/investigacion/desmontando-percepciones-y-estereotipos-de-genero-en-carreras-stem-entre-adolescentes-de-secundaria-y-sus-padres-evidencia-experimental-para-el-contexto-peruano/" TargetMode="External"/><Relationship Id="rId6" Type="http://schemas.openxmlformats.org/officeDocument/2006/relationships/hyperlink" Target="https://documents1.worldbank.org/curated/es/256681558607242941/pdf/Gender-Gaps-in-Peru-An-Overview.pdf" TargetMode="External"/><Relationship Id="rId7" Type="http://schemas.openxmlformats.org/officeDocument/2006/relationships/hyperlink" Target="https://www.jstor.org/stable/pdf/j.ctv47w9dv.21.pdf?refreqid=excelsior%25%203Ab57e4516f52c37905064d3f3f1bfef36&amp;ab_segments=&amp;origin=" TargetMode="External"/><Relationship Id="rId8" Type="http://schemas.openxmlformats.org/officeDocument/2006/relationships/hyperlink" Target="https://www.sciencedirect.com/science/article/abs/pii/S0277953617301430" TargetMode="External"/><Relationship Id="rId9" Type="http://schemas.openxmlformats.org/officeDocument/2006/relationships/hyperlink" Target="https://dialnet.unirioja.es/servlet/articulo?codigo=8556517" TargetMode="External"/><Relationship Id="rId10" Type="http://schemas.openxmlformats.org/officeDocument/2006/relationships/hyperlink" Target="https://ora.ox.ac.uk/objects/uuid:d0ebeca7-27fd-49f9-822e-7617a73e5716" TargetMode="External"/><Relationship Id="rId11" Type="http://schemas.openxmlformats.org/officeDocument/2006/relationships/hyperlink" Target="http://perueconomics.org/wp-content/uploads/2016/06/WP-90.pdf" TargetMode="External"/><Relationship Id="rId12" Type="http://schemas.openxmlformats.org/officeDocument/2006/relationships/hyperlink" Target="https://upc.aws.openrepository.com/handle/10757/661459" TargetMode="External"/><Relationship Id="rId13" Type="http://schemas.openxmlformats.org/officeDocument/2006/relationships/hyperlink" Target="https://hdl.handle.net/20.500.12820/365" TargetMode="External"/><Relationship Id="rId14" Type="http://schemas.openxmlformats.org/officeDocument/2006/relationships/hyperlink" Target="https://www.researchgate.net/profile/Gustavo-Yamada/publication/267994819_Las_diferencias_etnicas_y_de_genero_en_el_acceso_a_la_educacion_basica_y_superior_en_el_Peru_Con_la_colaboracion_de/links/54b90d3a0cf28faced6268bd/Las-diferencias-etnicas-y-de-gener" TargetMode="External"/><Relationship Id="rId15" Type="http://schemas.openxmlformats.org/officeDocument/2006/relationships/hyperlink" Target="https://www.socialscienceregistry.org/trials/10445" TargetMode="External"/><Relationship Id="rId16" Type="http://schemas.openxmlformats.org/officeDocument/2006/relationships/hyperlink" Target="https://www.socialscienceregistry.org/trials/10643" TargetMode="External"/><Relationship Id="rId17" Type="http://schemas.openxmlformats.org/officeDocument/2006/relationships/hyperlink" Target="https://tesis.pucp.edu.pe/repositorio/bitstream/handle/20.500.12404/21187/IPARRAGUIRRE_CIEZA_VALER_MOSCOSO_BRECHAS_SALARIALES_DE_G&#201;NERO.pdf?sequence=1&amp;isAllowed=y" TargetMode="External"/><Relationship Id="rId18" Type="http://schemas.openxmlformats.org/officeDocument/2006/relationships/hyperlink" Target="https://tesis.pucp.edu.pe/repositorio/handle/20.500.12404/23630" TargetMode="External"/><Relationship Id="rId19" Type="http://schemas.openxmlformats.org/officeDocument/2006/relationships/hyperlink" Target="https://tesis.pucp.edu.pe/repositorio/bitstream/handle/20.500.12404/14943/RIOS_PAMELA_EDUCACION_BRECHA_SALARIAL.pdf?sequence=1&amp;isAllowed=y" TargetMode="External"/><Relationship Id="rId20" Type="http://schemas.openxmlformats.org/officeDocument/2006/relationships/hyperlink" Target="https://tesis.pucp.edu.pe/repositorio/handle/20.500.12404/12673" TargetMode="External"/><Relationship Id="rId21" Type="http://schemas.openxmlformats.org/officeDocument/2006/relationships/hyperlink" Target="https://tesis.pucp.edu.pe/repositorio/bitstream/handle/20.500.12404/13017/MONTOYA_GARCIA_COBIAN_ALEJANDRA_EFECTO_SEXO_AUTORIDADES.pdf?sequence=1&amp;isAllowed=y" TargetMode="External"/><Relationship Id="rId22" Type="http://schemas.openxmlformats.org/officeDocument/2006/relationships/hyperlink" Target="https://www.ojs.revistainteracciones.com/index.php/rin/article/view/233" TargetMode="External"/><Relationship Id="rId23" Type="http://schemas.openxmlformats.org/officeDocument/2006/relationships/hyperlink" Target="https://www.ssoar.info/ssoar/handle/document/78269" TargetMode="External"/><Relationship Id="rId24" Type="http://schemas.openxmlformats.org/officeDocument/2006/relationships/hyperlink" Target="https://link.springer.com/article/10.1186/s12889-022-12889-4" TargetMode="External"/><Relationship Id="rId25" Type="http://schemas.openxmlformats.org/officeDocument/2006/relationships/hyperlink" Target="https://www.ncbi.nlm.nih.gov/pmc/articles/PMC5136520/" TargetMode="External"/><Relationship Id="rId26" Type="http://schemas.openxmlformats.org/officeDocument/2006/relationships/hyperlink" Target="https://juventud.gob.pe/wp-content/uploads/2020/09/Gu&#237;a-de-brecha-de-genero.pdf" TargetMode="External"/><Relationship Id="rId27" Type="http://schemas.openxmlformats.org/officeDocument/2006/relationships/hyperlink" Target="https://www.grade.org.pe/en/publicaciones/unveiling-barriers-to-womens-access-to-decent-work-in-peru/" TargetMode="External"/><Relationship Id="rId28" Type="http://schemas.openxmlformats.org/officeDocument/2006/relationships/hyperlink" Target="https://documents.worldbank.org/en/publication/documents-reports/documentdetail/221071468780894965/labor-market-participation-returns-to-education-and-male-female-wage-differences-in-peru" TargetMode="External"/><Relationship Id="rId29" Type="http://schemas.openxmlformats.org/officeDocument/2006/relationships/hyperlink" Target="https://www.sciencedirect.com/science/article/abs/pii/027277579090015W" TargetMode="External"/><Relationship Id="rId30" Type="http://schemas.openxmlformats.org/officeDocument/2006/relationships/hyperlink" Target="https://tesis.pucp.edu.pe/repositorio/handle/20.500.12404/27938" TargetMode="External"/><Relationship Id="rId31" Type="http://schemas.openxmlformats.org/officeDocument/2006/relationships/hyperlink" Target="https://faculty.up.edu.pe/es/publications/gender-inequity-older-workers-and-the-gender-labor-income-gap-in-" TargetMode="External"/><Relationship Id="rId32" Type="http://schemas.openxmlformats.org/officeDocument/2006/relationships/hyperlink" Target="https://www.grade.org.pe/publicaciones/young-women-and-higher-education-in-peru-how-does-gender-shape-their-educational-trajectories/" TargetMode="External"/><Relationship Id="rId33" Type="http://schemas.openxmlformats.org/officeDocument/2006/relationships/hyperlink" Target="https://www.grade.org.pe/publicaciones/gendered-trajectories-through-education-work-and-parenthood-in-peru/" TargetMode="External"/><Relationship Id="rId34" Type="http://schemas.openxmlformats.org/officeDocument/2006/relationships/hyperlink" Target="https://www.grade.org.pe/wp-content/uploads/CCH_Sunedu_2023.pdf" TargetMode="External"/><Relationship Id="rId35" Type="http://schemas.openxmlformats.org/officeDocument/2006/relationships/hyperlink" Target="https://cies.org.pe/investigacion/efecto-de-los-roles-de-genero-del-hogar-en-resultados-educativos-de-las-ninas/" TargetMode="External"/><Relationship Id="rId36" Type="http://schemas.openxmlformats.org/officeDocument/2006/relationships/hyperlink" Target="https://www.oecd.org/en/publications/2022/06/gender-equality-in-peru_81043c5c.html" TargetMode="External"/><Relationship Id="rId37" Type="http://schemas.openxmlformats.org/officeDocument/2006/relationships/hyperlink" Target="https://www.ilo.org/media/426186/download" TargetMode="External"/><Relationship Id="rId38" Type="http://schemas.openxmlformats.org/officeDocument/2006/relationships/hyperlink" Target="https://link.springer.com/article/10.1007/s10834-023-09921-z" TargetMode="External"/><Relationship Id="rId39" Type="http://schemas.openxmlformats.org/officeDocument/2006/relationships/hyperlink" Target="https://www.gob.pe/institucion/inei/informes-publicaciones/5181683-peru-brechas-de-genero-2023-avances-hacia-la-igualdad-de-mujeres-y-hombres" TargetMode="External"/><Relationship Id="rId40" Type="http://schemas.openxmlformats.org/officeDocument/2006/relationships/hyperlink" Target="https://www.inei.gob.pe/media/MenuRecursivo/publicaciones_digitales/Est/Lib1879/libro.pdf" TargetMode="External"/><Relationship Id="rId41" Type="http://schemas.openxmlformats.org/officeDocument/2006/relationships/hyperlink" Target="https://publications.iadb.org/en/publications/english/viewer/What-Job-Would-You-Apply-to-Findings-on-the-Impact-of-Language-on-Job-Searches.pdf" TargetMode="External"/><Relationship Id="rId42" Type="http://schemas.openxmlformats.org/officeDocument/2006/relationships/hyperlink" Target="https://www.gob.pe/institucion/mtpe/informes-publicaciones/5060924-informe-anual-de-la-mujer-en-el-mercado-laboral-2022" TargetMode="External"/><Relationship Id="rId43" Type="http://schemas.openxmlformats.org/officeDocument/2006/relationships/hyperlink" Target="https://www.grade.org.pe/en/publicaciones/reinsercion-y-permanencia-en-el-mercado-laboral-con-equidad-de-genero-el-servicio-cuidado-diurno-en-madres-jovenes/" TargetMode="External"/><Relationship Id="rId44" Type="http://schemas.openxmlformats.org/officeDocument/2006/relationships/hyperlink" Target="https://assets.publishing.service.gov.uk/media/57a08b7b40f0b652dd000cde/workingpaper67.pdf" TargetMode="External"/><Relationship Id="rId45" Type="http://schemas.openxmlformats.org/officeDocument/2006/relationships/hyperlink" Target="https://gupea.ub.gu.se/bitstream/handle/2077/73902/Matilda%20Andersson%20Minna%20Risberg%20Challenges%20for%20women%27s%20labor.pdf?sequence=3&amp;isAllowed=y" TargetMode="External"/><Relationship Id="rId46" Type="http://schemas.openxmlformats.org/officeDocument/2006/relationships/hyperlink" Target="https://cies.org.pe/publicaciones/aportes-a-la-comprension-de-la-trata-de-personas-en-el-peru-compendio-de-balance-de-investigaciones/" TargetMode="External"/><Relationship Id="rId47" Type="http://schemas.openxmlformats.org/officeDocument/2006/relationships/hyperlink" Target="https://cies.org.pe/publicaciones/guia-didactica-para-docentes-que-buscan-promover-la-investigacion-sobre-trata-de-personas/" TargetMode="External"/><Relationship Id="rId48" Type="http://schemas.openxmlformats.org/officeDocument/2006/relationships/hyperlink" Target="https://cies.org.pe/publicaciones/caja-de-herramientas-sobre-derechos-humanos-diversidad-sexual-corporal-y-de-genero/" TargetMode="External"/><Relationship Id="rId49" Type="http://schemas.openxmlformats.org/officeDocument/2006/relationships/hyperlink" Target="https://revistas.pucp.edu.pe/index.php/iusetveritas/article/view/22499" TargetMode="External"/><Relationship Id="rId50" Type="http://schemas.openxmlformats.org/officeDocument/2006/relationships/hyperlink" Target="https://peru.unfpa.org/sites/default/files/pub-pdf/PODER%20JUDICIAL%20publicacion_pensando%20en%20g&#233;nero.pdf" TargetMode="External"/><Relationship Id="rId51" Type="http://schemas.openxmlformats.org/officeDocument/2006/relationships/hyperlink" Target="https://www.mimp.gob.pe/omep/pdf/evidencias/Rousseau2021.pdf" TargetMode="External"/><Relationship Id="rId52" Type="http://schemas.openxmlformats.org/officeDocument/2006/relationships/hyperlink" Target="https://www.mimp.gob.pe/files/direcciones/dgcvg/mimp-marco-conceptual-violencia-basada-en-genero.pdf" TargetMode="External"/><Relationship Id="rId53" Type="http://schemas.openxmlformats.org/officeDocument/2006/relationships/hyperlink" Target="https://repositorio.iep.org.pe/handle/IEP/1148" TargetMode="External"/><Relationship Id="rId54" Type="http://schemas.openxmlformats.org/officeDocument/2006/relationships/hyperlink" Target="https://cies.org.pe/investigacion/en-capilla-desigualdades-en-la-insercion-laboral-de-mujeres-jovenes/" TargetMode="External"/><Relationship Id="rId55" Type="http://schemas.openxmlformats.org/officeDocument/2006/relationships/hyperlink" Target="https://oi-files-cng-prod.s3.amazonaws.com/peru.oxfam.org/s3fs-public/file_attachments/Tiempos-de-Cuidados.pdf" TargetMode="External"/><Relationship Id="rId56" Type="http://schemas.openxmlformats.org/officeDocument/2006/relationships/hyperlink" Target="https://cies.org.pe/investigacion/economia-del-cuidado-desigualdades-de-genero-y-participacion-cuna-mas/" TargetMode="External"/><Relationship Id="rId57" Type="http://schemas.openxmlformats.org/officeDocument/2006/relationships/hyperlink" Target="https://www.tandfonline.com/doi/abs/10.1080/13545701.2017.1344776" TargetMode="External"/><Relationship Id="rId58" Type="http://schemas.openxmlformats.org/officeDocument/2006/relationships/hyperlink" Target="https://read.oecd-ilibrary.org/social-issues-migration-health/igualdad-de-genero-en-el-peru_34a988b3-es" TargetMode="External"/><Relationship Id="rId59" Type="http://schemas.openxmlformats.org/officeDocument/2006/relationships/hyperlink" Target="https://revistas.pucp.edu.pe/index.php/economia/article/view/20908" TargetMode="External"/><Relationship Id="rId60" Type="http://schemas.openxmlformats.org/officeDocument/2006/relationships/hyperlink" Target="https://revistasinvestigacion.unmsm.edu.pe/index.php/discursos/article/view/22112/17801" TargetMode="External"/><Relationship Id="rId61" Type="http://schemas.openxmlformats.org/officeDocument/2006/relationships/hyperlink" Target="https://www.lai.fu-berlin.de/homepages/marull/Forschung_und_Publikationen/Thesis_Marull_A_Y__2010-2011.pdf" TargetMode="External"/><Relationship Id="rId62" Type="http://schemas.openxmlformats.org/officeDocument/2006/relationships/hyperlink" Target="https://tesis.pucp.edu.pe/repositorio/bitstream/handle/20.500.12404/24183/CUADRA_LAZARTE_MARIA_PAZ_BC_SIN_HORARIO.pdf?sequence=1" TargetMode="External"/><Relationship Id="rId63" Type="http://schemas.openxmlformats.org/officeDocument/2006/relationships/hyperlink" Target="https://tesis.pucp.edu.pe/repositorio/bitstream/handle/20.500.12404/24183/CUADRA_LAZARTE_MARIA_PAZ_BC_SIN_HORARIO.pdf?sequence=1" TargetMode="External"/><Relationship Id="rId64" Type="http://schemas.openxmlformats.org/officeDocument/2006/relationships/hyperlink" Target="https://dialnet.unirioja.es/servlet/articulo?codigo=6693471" TargetMode="External"/><Relationship Id="rId65" Type="http://schemas.openxmlformats.org/officeDocument/2006/relationships/hyperlink" Target="https://www.ilo.org/sites/default/files/wcmsp5/groups/public/@americas/@ro-lima/documents/publication/wcms_213173.pdf" TargetMode="External"/><Relationship Id="rId66" Type="http://schemas.openxmlformats.org/officeDocument/2006/relationships/hyperlink" Target="https://su.diva-portal.org/smash/get/diva2:1794525/FULLTEXT01.pdf" TargetMode="External"/><Relationship Id="rId67" Type="http://schemas.openxmlformats.org/officeDocument/2006/relationships/hyperlink" Target="https://www.inei.gob.pe/media/MenuRecursivo/publicaciones_digitales/Est/Lib1358/libro.pdf" TargetMode="External"/><Relationship Id="rId68" Type="http://schemas.openxmlformats.org/officeDocument/2006/relationships/hyperlink" Target="https://oig.cepal.org/sites/default/files/2021_dtmcc_per.pdf" TargetMode="External"/><Relationship Id="rId69" Type="http://schemas.openxmlformats.org/officeDocument/2006/relationships/hyperlink" Target="https://www.grade.org.pe/wp-content/uploads/LibroGRADEViolenciaSMujereS.pdf" TargetMode="External"/><Relationship Id="rId70" Type="http://schemas.openxmlformats.org/officeDocument/2006/relationships/hyperlink" Target="https://ecommons.cornell.edu/server/api/core/bitstreams/07c289ba-3a09-4d50-a81b-e6c051c9521a/content" TargetMode="External"/><Relationship Id="rId71" Type="http://schemas.openxmlformats.org/officeDocument/2006/relationships/hyperlink" Target="https://cris.usil.edu.pe/es/publications/gender-differences-in-the-factors-associated-with-alcohol-binge-d" TargetMode="External"/><Relationship Id="rId72" Type="http://schemas.openxmlformats.org/officeDocument/2006/relationships/hyperlink" Target="https://journals.sagepub.com/doi/10.1177/2333794X231190526" TargetMode="External"/><Relationship Id="rId73" Type="http://schemas.openxmlformats.org/officeDocument/2006/relationships/hyperlink" Target="https://www.ojs.revistainteracciones.com/index.php/rin/article/view/233" TargetMode="External"/><Relationship Id="rId74" Type="http://schemas.openxmlformats.org/officeDocument/2006/relationships/hyperlink" Target="https://journals.sagepub.com/doi/abs/10.1177/15404153231163324" TargetMode="External"/><Relationship Id="rId75" Type="http://schemas.openxmlformats.org/officeDocument/2006/relationships/hyperlink" Target="https://www.cell.com/heliyon/fulltext/S2405-8440(21)01581-4" TargetMode="External"/><Relationship Id="rId76" Type="http://schemas.openxmlformats.org/officeDocument/2006/relationships/hyperlink" Target="https://doi.org/10.1111/rode.13059" TargetMode="External"/><Relationship Id="rId77" Type="http://schemas.openxmlformats.org/officeDocument/2006/relationships/hyperlink" Target="https://cdn.www.gob.pe/uploads/document/file/5401851/4831494-la-violencia-contra-la-mujer-en-el-peru-al-2022-un-modelo-ecologico.pdf?v=1699632787" TargetMode="External"/><Relationship Id="rId78" Type="http://schemas.openxmlformats.org/officeDocument/2006/relationships/hyperlink" Target="https://publications.iadb.org/en/prevalence-violence-against-women-among-different-ethnic-groups-peru" TargetMode="External"/><Relationship Id="rId79" Type="http://schemas.openxmlformats.org/officeDocument/2006/relationships/hyperlink" Target="https://gatesopenresearch.org/articles/6-102" TargetMode="External"/><Relationship Id="rId80" Type="http://schemas.openxmlformats.org/officeDocument/2006/relationships/hyperlink" Target="https://www.ssoar.info/ssoar/handle/document/56510" TargetMode="External"/><Relationship Id="rId81" Type="http://schemas.openxmlformats.org/officeDocument/2006/relationships/hyperlink" Target="https://pmc.ncbi.nlm.nih.gov/articles/PMC5898391/" TargetMode="External"/><Relationship Id="rId82" Type="http://schemas.openxmlformats.org/officeDocument/2006/relationships/hyperlink" Target="https://iris.paho.org/handle/10665.2/9820" TargetMode="External"/><Relationship Id="rId83" Type="http://schemas.openxmlformats.org/officeDocument/2006/relationships/hyperlink" Target="https://link.springer.com/article/10.1007/s10896-017-9929-0" TargetMode="External"/><Relationship Id="rId84" Type="http://schemas.openxmlformats.org/officeDocument/2006/relationships/hyperlink" Target="https://www.sciencedirect.com/science/article/pii/S2352827318301174" TargetMode="External"/><Relationship Id="rId85" Type="http://schemas.openxmlformats.org/officeDocument/2006/relationships/hyperlink" Target="https://tesis.pucp.edu.pe/repositorio/handle/20.500.12404/21007" TargetMode="External"/><Relationship Id="rId86" Type="http://schemas.openxmlformats.org/officeDocument/2006/relationships/hyperlink" Target="https://cies.org.pe/investigacion/que-factores-determinan-la-violencia-domestica-de-pareja-y-su-recurrencia-en-el-peru-fact-violencia/" TargetMode="External"/><Relationship Id="rId87" Type="http://schemas.openxmlformats.org/officeDocument/2006/relationships/hyperlink" Target="https://cris.usil.edu.pe/es/publications/gender-differences-in-the-factors-associated-with-alcohol-binge-d" TargetMode="External"/><Relationship Id="rId88" Type="http://schemas.openxmlformats.org/officeDocument/2006/relationships/hyperlink" Target="https://psycnet.apa.org/record/2024-11549-006" TargetMode="External"/><Relationship Id="rId89" Type="http://schemas.openxmlformats.org/officeDocument/2006/relationships/hyperlink" Target="https://revistasinvestigacion.unmsm.edu.pe/index.php/anales/article/view/830" TargetMode="External"/><Relationship Id="rId90" Type="http://schemas.openxmlformats.org/officeDocument/2006/relationships/hyperlink" Target="https://revistas.uniandes.edu.co/index.php/dys/article/view/280/9254" TargetMode="External"/><Relationship Id="rId91" Type="http://schemas.openxmlformats.org/officeDocument/2006/relationships/hyperlink" Target="https://www.grade.org.pe/wp-content/uploads/di80.pdf" TargetMode="External"/><Relationship Id="rId92" Type="http://schemas.openxmlformats.org/officeDocument/2006/relationships/hyperlink" Target="https://pubmed.ncbi.nlm.nih.gov/39287602/" TargetMode="External"/><Relationship Id="rId93" Type="http://schemas.openxmlformats.org/officeDocument/2006/relationships/hyperlink" Target="https://journals.lww.com/invn/fulltext/2024/22010/_el_que_ve_y_ayuda___evaluation_of_a_gender_based.6.aspx" TargetMode="External"/><Relationship Id="rId94" Type="http://schemas.openxmlformats.org/officeDocument/2006/relationships/hyperlink" Target="https://www.grade.org.pe/wp-content/uploads/DiazSaldarriaga_JUNTOSAndIPV_FullVersion.pdf" TargetMode="External"/><Relationship Id="rId95" Type="http://schemas.openxmlformats.org/officeDocument/2006/relationships/hyperlink" Target="https://cies.org.pe/investigacion/pantallazo-a-la-violencia-de-genero-redes-sociales-y-ciberviolencia-en-relaciones-sexo-afectivas-entre-adolescentes/" TargetMode="External"/><Relationship Id="rId96" Type="http://schemas.openxmlformats.org/officeDocument/2006/relationships/hyperlink" Target="https://www.norc.org/content/dam/norc-org/pdf2024/gender-based-violence-peru-case-study.pdf" TargetMode="External"/><Relationship Id="rId97" Type="http://schemas.openxmlformats.org/officeDocument/2006/relationships/hyperlink" Target="https://www.ncbi.nlm.nih.gov/pmc/articles/PMC4568981/" TargetMode="External"/><Relationship Id="rId98" Type="http://schemas.openxmlformats.org/officeDocument/2006/relationships/hyperlink" Target="https://revistas.pucp.edu.pe/index.php/derechoysociedad/article/view/18888" TargetMode="External"/><Relationship Id="rId99" Type="http://schemas.openxmlformats.org/officeDocument/2006/relationships/hyperlink" Target="https://cdn.www.gob.pe/uploads/document/file/2935176/Marco-Conceptual-para-la-prevencion-de-la-violencia-de-genero-contra-las-mujeres.pdf" TargetMode="External"/><Relationship Id="rId100" Type="http://schemas.openxmlformats.org/officeDocument/2006/relationships/hyperlink" Target="https://trialsjournal.biomedcentral.com/articles/10.1186/s13063-022-07004-2" TargetMode="External"/><Relationship Id="rId101" Type="http://schemas.openxmlformats.org/officeDocument/2006/relationships/hyperlink" Target="https://www.sciencedirect.com/science/article/abs/pii/S0360131516302007" TargetMode="External"/><Relationship Id="rId102" Type="http://schemas.openxmlformats.org/officeDocument/2006/relationships/hyperlink" Target="https://ejournal.uika-bogor.ac.id/index.php/TEK/article/view/16490/5601" TargetMode="External"/><Relationship Id="rId103" Type="http://schemas.openxmlformats.org/officeDocument/2006/relationships/hyperlink" Target="https://www.sciencedirect.com/science/article/pii/S1747938X18302902" TargetMode="External"/><Relationship Id="rId104" Type="http://schemas.openxmlformats.org/officeDocument/2006/relationships/hyperlink" Target="https://link.springer.com/article/10.1007/s10639-021-10775-x" TargetMode="External"/><Relationship Id="rId105" Type="http://schemas.openxmlformats.org/officeDocument/2006/relationships/hyperlink" Target="https://psycnet.apa.org/record/1992-16290-001" TargetMode="External"/><Relationship Id="rId106" Type="http://schemas.openxmlformats.org/officeDocument/2006/relationships/hyperlink" Target="https://psycnet.apa.org/buy/2014-15035-001" TargetMode="External"/><Relationship Id="rId107" Type="http://schemas.openxmlformats.org/officeDocument/2006/relationships/hyperlink" Target="https://doi.org/10.1037/0022-3514.60.5.685" TargetMode="External"/><Relationship Id="rId108" Type="http://schemas.openxmlformats.org/officeDocument/2006/relationships/hyperlink" Target="https://link.springer.com/article/10.1007/s10212-011-0097-y" TargetMode="External"/><Relationship Id="rId109" Type="http://schemas.openxmlformats.org/officeDocument/2006/relationships/hyperlink" Target="https://docta.ucm.es/bitstreams/b1df0ed0-406d-4ca9-a82c-727b596ab20c/download" TargetMode="External"/><Relationship Id="rId110" Type="http://schemas.openxmlformats.org/officeDocument/2006/relationships/hyperlink" Target="https://psycnet.apa.org/buy/2017-56124-001" TargetMode="External"/><Relationship Id="rId111" Type="http://schemas.openxmlformats.org/officeDocument/2006/relationships/hyperlink" Target="https://psycnet.apa.org/record/2014-21414-001" TargetMode="External"/><Relationship Id="rId112" Type="http://schemas.openxmlformats.org/officeDocument/2006/relationships/hyperlink" Target="https://www.nber.org/system/files/working_papers/w24351/w24351.pdf" TargetMode="External"/><Relationship Id="rId113" Type="http://schemas.openxmlformats.org/officeDocument/2006/relationships/hyperlink" Target="https://www.sciencedirect.com/science/article/abs/pii/S0167268124002312?via%3Dihub" TargetMode="External"/><Relationship Id="rId114" Type="http://schemas.openxmlformats.org/officeDocument/2006/relationships/hyperlink" Target="https://repec.port.ac.uk/EconFinance/PBSEconFin_2024_02.pdf" TargetMode="External"/><Relationship Id="rId115" Type="http://schemas.openxmlformats.org/officeDocument/2006/relationships/hyperlink" Target="https://papers.ssrn.com/sol3/papers.cfm?abstract_id=4332175" TargetMode="External"/><Relationship Id="rId116" Type="http://schemas.openxmlformats.org/officeDocument/2006/relationships/hyperlink" Target="https://papers.ssrn.com/sol3/papers.cfm?abstract_id=4714282" TargetMode="External"/><Relationship Id="rId117" Type="http://schemas.openxmlformats.org/officeDocument/2006/relationships/hyperlink" Target="https://idl-bnc-idrc.dspacedirect.org/bitstreams/10c4eddb-77d8-4e2e-9399-ab6fbc86f297/download" TargetMode="External"/><Relationship Id="rId118" Type="http://schemas.openxmlformats.org/officeDocument/2006/relationships/hyperlink" Target="https://www.tandfonline.com/doi/abs/10.1080/00220485.2010.486718" TargetMode="External"/><Relationship Id="rId119" Type="http://schemas.openxmlformats.org/officeDocument/2006/relationships/hyperlink" Target="https://www.frontiersin.org/journals/psychiatry/articles/10.3389/fpsyt.2024.1387032/full" TargetMode="External"/><Relationship Id="rId120" Type="http://schemas.openxmlformats.org/officeDocument/2006/relationships/hyperlink" Target="https://www.ncbi.nlm.nih.gov/pmc/articles/PMC4012695/" TargetMode="External"/><Relationship Id="rId121" Type="http://schemas.openxmlformats.org/officeDocument/2006/relationships/hyperlink" Target="https://www.sciencedirect.com/science/article/pii/S0047235210000966" TargetMode="External"/><Relationship Id="rId122" Type="http://schemas.openxmlformats.org/officeDocument/2006/relationships/hyperlink" Target="https://gh.bmj.com/content/5/5/e002223.abstract" TargetMode="External"/><Relationship Id="rId123" Type="http://schemas.openxmlformats.org/officeDocument/2006/relationships/hyperlink" Target="https://gh.bmj.com/content/3/5/e000825.abstract" TargetMode="External"/><Relationship Id="rId124" Type="http://schemas.openxmlformats.org/officeDocument/2006/relationships/hyperlink" Target="https://www.jmir.org/2022/1/e27696/" TargetMode="External"/><Relationship Id="rId125" Type="http://schemas.openxmlformats.org/officeDocument/2006/relationships/hyperlink" Target="https://link.springer.com/article/10.1186/1471-2458-14-339" TargetMode="External"/><Relationship Id="rId126" Type="http://schemas.openxmlformats.org/officeDocument/2006/relationships/hyperlink" Target="https://pmc.ncbi.nlm.nih.gov/articles/PMC6818771/" TargetMode="External"/><Relationship Id="rId127" Type="http://schemas.openxmlformats.org/officeDocument/2006/relationships/hyperlink" Target="https://doi.org/10.1080/14649880600768512" TargetMode="External"/><Relationship Id="rId128" Type="http://schemas.openxmlformats.org/officeDocument/2006/relationships/hyperlink" Target="https://www.tandfonline.com/doi/abs/10.1080/03057070500493886" TargetMode="External"/><Relationship Id="rId129" Type="http://schemas.openxmlformats.org/officeDocument/2006/relationships/hyperlink" Target="https://doi.org/10.1111/gwao.12350" TargetMode="External"/><Relationship Id="rId130" Type="http://schemas.openxmlformats.org/officeDocument/2006/relationships/hyperlink" Target="https://link.springer.com/book/9780333669945" TargetMode="External"/><Relationship Id="rId131" Type="http://schemas.openxmlformats.org/officeDocument/2006/relationships/hyperlink" Target="https://sci-hub.se/10.1017/S0047279401006262" TargetMode="External"/><Relationship Id="rId132" Type="http://schemas.openxmlformats.org/officeDocument/2006/relationships/hyperlink" Target="https://www.socialscienceregistry.org/trials/10120" TargetMode="External"/><Relationship Id="rId133" Type="http://schemas.openxmlformats.org/officeDocument/2006/relationships/hyperlink" Target="https://www.socialscienceregistry.org/trials/12502" TargetMode="External"/><Relationship Id="rId134" Type="http://schemas.openxmlformats.org/officeDocument/2006/relationships/hyperlink" Target="https://www.socialscienceregistry.org/trials/6180" TargetMode="External"/><Relationship Id="rId135" Type="http://schemas.openxmlformats.org/officeDocument/2006/relationships/hyperlink" Target="https://publications.iadb.org/es/publications/spanish/viewer/policy-brief-hel-es-sep-4-v2.pdf" TargetMode="External"/><Relationship Id="rId136" Type="http://schemas.openxmlformats.org/officeDocument/2006/relationships/hyperlink" Target="https://www.socialscienceregistry.org/trials/2629" TargetMode="External"/><Relationship Id="rId137" Type="http://schemas.openxmlformats.org/officeDocument/2006/relationships/hyperlink" Target="https://cies.org.pe/investigacion/alo-tengo-un-problema-evaluacion-de-impacto-de-la-linea-100-del-ministerio-de-la/" TargetMode="External"/><Relationship Id="rId138" Type="http://schemas.openxmlformats.org/officeDocument/2006/relationships/drawing" Target="../drawings/drawing1.xml"/><Relationship Id="rId139"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90"/>
  </cols>
  <sheetData>
    <row r="2" customFormat="false" ht="18.5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6.25" hidden="false" customHeight="false" outlineLevel="0" collapsed="false">
      <c r="B6" s="4" t="s">
        <v>3</v>
      </c>
      <c r="C6" s="4" t="s">
        <v>4</v>
      </c>
    </row>
    <row r="7" customFormat="false" ht="35.05" hidden="false" customHeight="false" outlineLevel="0" collapsed="false">
      <c r="B7" s="4" t="s">
        <v>5</v>
      </c>
      <c r="C7" s="4" t="s">
        <v>6</v>
      </c>
    </row>
    <row r="8" customFormat="false" ht="23.85" hidden="false" customHeight="false" outlineLevel="0" collapsed="false">
      <c r="B8" s="4" t="s">
        <v>7</v>
      </c>
      <c r="C8" s="4" t="s">
        <v>8</v>
      </c>
    </row>
    <row r="9" customFormat="false" ht="35.05" hidden="false" customHeight="false" outlineLevel="0" collapsed="false">
      <c r="B9" s="4" t="s">
        <v>9</v>
      </c>
      <c r="C9" s="4" t="s">
        <v>10</v>
      </c>
    </row>
    <row r="11" customFormat="false" ht="15" hidden="false" customHeight="false" outlineLevel="0" collapsed="false">
      <c r="B11" s="3" t="s">
        <v>11</v>
      </c>
    </row>
    <row r="12" customFormat="false" ht="15" hidden="false" customHeight="false" outlineLevel="0" collapsed="false">
      <c r="B12" s="5" t="s">
        <v>12</v>
      </c>
      <c r="C12" s="4" t="s">
        <v>13</v>
      </c>
    </row>
    <row r="13" customFormat="false" ht="15" hidden="false" customHeight="false" outlineLevel="0" collapsed="false">
      <c r="B13" s="6" t="s">
        <v>14</v>
      </c>
      <c r="C13" s="4" t="s">
        <v>15</v>
      </c>
    </row>
    <row r="14" customFormat="false" ht="15" hidden="false" customHeight="false" outlineLevel="0" collapsed="false">
      <c r="B14" s="7" t="s">
        <v>16</v>
      </c>
      <c r="C14" s="4" t="s">
        <v>17</v>
      </c>
    </row>
    <row r="15" customFormat="false" ht="15" hidden="false" customHeight="false" outlineLevel="0" collapsed="false">
      <c r="B15" s="8" t="s">
        <v>18</v>
      </c>
      <c r="C15" s="4" t="s">
        <v>19</v>
      </c>
    </row>
    <row r="17" customFormat="false" ht="15" hidden="false" customHeight="false" outlineLevel="0" collapsed="false">
      <c r="B17" s="3" t="s">
        <v>20</v>
      </c>
    </row>
    <row r="18" customFormat="false" ht="23.85" hidden="false" customHeight="false" outlineLevel="0" collapsed="false">
      <c r="B18" s="4" t="s">
        <v>21</v>
      </c>
      <c r="C18" s="4" t="s">
        <v>22</v>
      </c>
    </row>
    <row r="19" customFormat="false" ht="23.85" hidden="false" customHeight="false" outlineLevel="0" collapsed="false">
      <c r="B19" s="4" t="s">
        <v>23</v>
      </c>
      <c r="C19" s="4" t="s">
        <v>24</v>
      </c>
    </row>
    <row r="20" customFormat="false" ht="15" hidden="false" customHeight="false" outlineLevel="0" collapsed="false">
      <c r="B20" s="4" t="s">
        <v>25</v>
      </c>
      <c r="C20" s="4" t="s">
        <v>26</v>
      </c>
    </row>
    <row r="22" customFormat="false" ht="15" hidden="false" customHeight="false" outlineLevel="0" collapsed="false">
      <c r="B22" s="3" t="s">
        <v>27</v>
      </c>
    </row>
    <row r="23" customFormat="false" ht="23.85" hidden="false" customHeight="false" outlineLevel="0" collapsed="false">
      <c r="B23" s="4" t="s">
        <v>28</v>
      </c>
      <c r="C23" s="4" t="s">
        <v>29</v>
      </c>
    </row>
    <row r="24" customFormat="false" ht="15" hidden="false" customHeight="false" outlineLevel="0" collapsed="false">
      <c r="B24" s="7" t="s">
        <v>25</v>
      </c>
      <c r="C24" s="4" t="s">
        <v>30</v>
      </c>
    </row>
    <row r="25" customFormat="false" ht="23.85" hidden="false" customHeight="false" outlineLevel="0" collapsed="false">
      <c r="B25" s="7" t="s">
        <v>21</v>
      </c>
      <c r="C25" s="4" t="s">
        <v>31</v>
      </c>
    </row>
    <row r="26" customFormat="false" ht="15" hidden="false" customHeight="false" outlineLevel="0" collapsed="false">
      <c r="B26" s="7" t="s">
        <v>23</v>
      </c>
      <c r="C26" s="4" t="s">
        <v>32</v>
      </c>
    </row>
    <row r="28" customFormat="false" ht="15" hidden="false" customHeight="false" outlineLevel="0" collapsed="false">
      <c r="B28" s="3" t="s">
        <v>33</v>
      </c>
    </row>
    <row r="29" customFormat="false" ht="15" hidden="false" customHeight="false" outlineLevel="0" collapsed="false">
      <c r="B29" s="9" t="s">
        <v>34</v>
      </c>
      <c r="C29" s="10" t="n">
        <f aca="false">COUNTA('Matriz revisada'!$A$2:$A$400)</f>
        <v>136</v>
      </c>
    </row>
    <row r="30" customFormat="false" ht="15" hidden="false" customHeight="false" outlineLevel="0" collapsed="false">
      <c r="B30" s="9" t="s">
        <v>35</v>
      </c>
      <c r="C30" s="10" t="n">
        <f aca="false">COUNTIF('Matriz revisada'!$B$2:$B$400,"Válido")</f>
        <v>133</v>
      </c>
    </row>
    <row r="31" customFormat="false" ht="15" hidden="false" customHeight="false" outlineLevel="0" collapsed="false">
      <c r="B31" s="9" t="s">
        <v>36</v>
      </c>
      <c r="C31" s="10" t="n">
        <f aca="false">COUNTIF('Matriz revisada'!$B$2:$B$400,"Duplicado – eliminar")</f>
        <v>3</v>
      </c>
    </row>
    <row r="32" customFormat="false" ht="15" hidden="false" customHeight="false" outlineLevel="0" collapsed="false">
      <c r="B32" s="9" t="s">
        <v>37</v>
      </c>
      <c r="C32" s="10" t="n">
        <f aca="false">COUNTA('Matriz revisada'!$V$2:$V$400)</f>
        <v>0</v>
      </c>
    </row>
    <row r="33" customFormat="false" ht="15" hidden="false" customHeight="false" outlineLevel="0" collapsed="false">
      <c r="B33" s="9" t="s">
        <v>38</v>
      </c>
      <c r="C33" s="10" t="n">
        <f aca="false">COUNTA('Matriz revisada'!$W$2:$W$400)</f>
        <v>0</v>
      </c>
    </row>
    <row r="34" customFormat="false" ht="15" hidden="false" customHeight="false" outlineLevel="0" collapsed="false">
      <c r="B34" s="9" t="s">
        <v>39</v>
      </c>
      <c r="C34" s="10" t="n">
        <f aca="false">COUNTA('Matriz revisada'!$M$2:$M$400)</f>
        <v>0</v>
      </c>
    </row>
    <row r="35" customFormat="false" ht="15" hidden="false" customHeight="false" outlineLevel="0" collapsed="false">
      <c r="B35" s="9" t="s">
        <v>40</v>
      </c>
      <c r="C35" s="10" t="n">
        <f aca="false">COUNTIF('Por validar'!$E$2:$E$78,"Pendiente")</f>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18"/>
    <col collapsed="false" customWidth="true" hidden="false" outlineLevel="0" max="4" min="4" style="0" width="22"/>
    <col collapsed="false" customWidth="true" hidden="false" outlineLevel="0" max="5" min="5" style="0" width="24"/>
    <col collapsed="false" customWidth="true" hidden="false" outlineLevel="0" max="6" min="6" style="0" width="30"/>
    <col collapsed="false" customWidth="true" hidden="false" outlineLevel="0" max="7" min="7" style="0" width="50"/>
    <col collapsed="false" customWidth="true" hidden="false" outlineLevel="0" max="8" min="8" style="0" width="30"/>
    <col collapsed="false" customWidth="true" hidden="false" outlineLevel="0" max="9" min="9" style="0" width="7"/>
    <col collapsed="false" customWidth="true" hidden="false" outlineLevel="0" max="10" min="10" style="0" width="18"/>
    <col collapsed="false" customWidth="true" hidden="false" outlineLevel="0" max="11" min="11" style="0" width="14"/>
    <col collapsed="false" customWidth="true" hidden="false" outlineLevel="0" max="12" min="12" style="0" width="40"/>
    <col collapsed="false" customWidth="true" hidden="false" outlineLevel="0" max="13" min="13" style="0" width="22"/>
    <col collapsed="false" customWidth="true" hidden="false" outlineLevel="0" max="14" min="14" style="0" width="45"/>
    <col collapsed="false" customWidth="true" hidden="false" outlineLevel="0" max="15" min="15" style="0" width="28"/>
    <col collapsed="false" customWidth="true" hidden="false" outlineLevel="0" max="16" min="16" style="0" width="40"/>
    <col collapsed="false" customWidth="true" hidden="false" outlineLevel="0" max="17" min="17" style="0" width="28"/>
    <col collapsed="false" customWidth="true" hidden="false" outlineLevel="0" max="18" min="18" style="0" width="18"/>
    <col collapsed="false" customWidth="true" hidden="false" outlineLevel="0" max="20" min="19" style="0" width="30"/>
    <col collapsed="false" customWidth="true" hidden="false" outlineLevel="0" max="21" min="21" style="0" width="60"/>
    <col collapsed="false" customWidth="true" hidden="false" outlineLevel="0" max="22" min="22" style="0" width="45"/>
    <col collapsed="false" customWidth="true" hidden="false" outlineLevel="0" max="23" min="23" style="0" width="18"/>
    <col collapsed="false" customWidth="true" hidden="false" outlineLevel="0" max="24" min="24" style="0" width="40"/>
    <col collapsed="false" customWidth="true" hidden="false" outlineLevel="0" max="25" min="25" style="0" width="30"/>
    <col collapsed="false" customWidth="true" hidden="false" outlineLevel="0" max="26" min="26" style="0" width="50"/>
  </cols>
  <sheetData>
    <row r="1" customFormat="false" ht="42" hidden="false" customHeight="true" outlineLevel="0" collapsed="false">
      <c r="A1" s="11" t="s">
        <v>41</v>
      </c>
      <c r="B1" s="11" t="s">
        <v>42</v>
      </c>
      <c r="C1" s="11" t="s">
        <v>43</v>
      </c>
      <c r="D1" s="11" t="s">
        <v>44</v>
      </c>
      <c r="E1" s="12" t="s">
        <v>45</v>
      </c>
      <c r="F1" s="11" t="s">
        <v>46</v>
      </c>
      <c r="G1" s="11" t="s">
        <v>28</v>
      </c>
      <c r="H1" s="11" t="s">
        <v>47</v>
      </c>
      <c r="I1" s="11" t="s">
        <v>48</v>
      </c>
      <c r="J1" s="11" t="s">
        <v>49</v>
      </c>
      <c r="K1" s="12" t="s">
        <v>50</v>
      </c>
      <c r="L1" s="11" t="s">
        <v>51</v>
      </c>
      <c r="M1" s="13" t="s">
        <v>25</v>
      </c>
      <c r="N1" s="11" t="s">
        <v>52</v>
      </c>
      <c r="O1" s="11" t="s">
        <v>53</v>
      </c>
      <c r="P1" s="11" t="s">
        <v>54</v>
      </c>
      <c r="Q1" s="11" t="s">
        <v>55</v>
      </c>
      <c r="R1" s="11" t="s">
        <v>56</v>
      </c>
      <c r="S1" s="11" t="s">
        <v>57</v>
      </c>
      <c r="T1" s="11" t="s">
        <v>58</v>
      </c>
      <c r="U1" s="11" t="s">
        <v>59</v>
      </c>
      <c r="V1" s="13" t="s">
        <v>60</v>
      </c>
      <c r="W1" s="13" t="s">
        <v>23</v>
      </c>
      <c r="X1" s="11" t="s">
        <v>61</v>
      </c>
      <c r="Y1" s="11" t="s">
        <v>62</v>
      </c>
      <c r="Z1" s="12" t="s">
        <v>63</v>
      </c>
    </row>
    <row r="2" customFormat="false" ht="45" hidden="false" customHeight="true" outlineLevel="0" collapsed="false">
      <c r="A2" s="14" t="n">
        <v>1</v>
      </c>
      <c r="B2" s="14" t="s">
        <v>64</v>
      </c>
      <c r="C2" s="14" t="s">
        <v>65</v>
      </c>
      <c r="D2" s="14" t="s">
        <v>66</v>
      </c>
      <c r="E2" s="14" t="s">
        <v>66</v>
      </c>
      <c r="F2" s="14" t="s">
        <v>67</v>
      </c>
      <c r="G2" s="14" t="s">
        <v>68</v>
      </c>
      <c r="H2" s="14" t="s">
        <v>69</v>
      </c>
      <c r="I2" s="14" t="n">
        <v>2020</v>
      </c>
      <c r="J2" s="5" t="s">
        <v>70</v>
      </c>
      <c r="K2" s="6" t="s">
        <v>71</v>
      </c>
      <c r="L2" s="14" t="s">
        <v>72</v>
      </c>
      <c r="M2" s="7"/>
      <c r="N2" s="14" t="s">
        <v>73</v>
      </c>
      <c r="O2" s="14" t="s">
        <v>74</v>
      </c>
      <c r="P2" s="14" t="s">
        <v>74</v>
      </c>
      <c r="Q2" s="14" t="s">
        <v>74</v>
      </c>
      <c r="R2" s="14" t="s">
        <v>74</v>
      </c>
      <c r="S2" s="14" t="s">
        <v>75</v>
      </c>
      <c r="T2" s="14" t="s">
        <v>76</v>
      </c>
      <c r="U2" s="14" t="s">
        <v>77</v>
      </c>
      <c r="V2" s="7"/>
      <c r="W2" s="7"/>
      <c r="X2" s="15" t="s">
        <v>78</v>
      </c>
      <c r="Y2" s="14" t="s">
        <v>79</v>
      </c>
      <c r="Z2" s="14"/>
    </row>
    <row r="3" customFormat="false" ht="45" hidden="false" customHeight="true" outlineLevel="0" collapsed="false">
      <c r="A3" s="14" t="n">
        <v>2</v>
      </c>
      <c r="B3" s="14" t="s">
        <v>64</v>
      </c>
      <c r="C3" s="14" t="s">
        <v>65</v>
      </c>
      <c r="D3" s="14" t="s">
        <v>66</v>
      </c>
      <c r="E3" s="14" t="s">
        <v>66</v>
      </c>
      <c r="F3" s="14" t="s">
        <v>80</v>
      </c>
      <c r="G3" s="14" t="s">
        <v>81</v>
      </c>
      <c r="H3" s="5" t="s">
        <v>82</v>
      </c>
      <c r="I3" s="14" t="n">
        <v>2024</v>
      </c>
      <c r="J3" s="5" t="s">
        <v>70</v>
      </c>
      <c r="K3" s="6" t="s">
        <v>71</v>
      </c>
      <c r="L3" s="14" t="s">
        <v>83</v>
      </c>
      <c r="M3" s="7"/>
      <c r="N3" s="14" t="s">
        <v>84</v>
      </c>
      <c r="O3" s="14" t="s">
        <v>85</v>
      </c>
      <c r="P3" s="14" t="s">
        <v>86</v>
      </c>
      <c r="Q3" s="14" t="s">
        <v>87</v>
      </c>
      <c r="R3" s="14" t="s">
        <v>88</v>
      </c>
      <c r="S3" s="14" t="s">
        <v>89</v>
      </c>
      <c r="T3" s="14" t="s">
        <v>90</v>
      </c>
      <c r="U3" s="14" t="s">
        <v>91</v>
      </c>
      <c r="V3" s="7"/>
      <c r="W3" s="7"/>
      <c r="X3" s="15" t="s">
        <v>92</v>
      </c>
      <c r="Y3" s="14" t="s">
        <v>93</v>
      </c>
      <c r="Z3" s="14"/>
    </row>
    <row r="4" customFormat="false" ht="45" hidden="false" customHeight="true" outlineLevel="0" collapsed="false">
      <c r="A4" s="14" t="n">
        <v>3</v>
      </c>
      <c r="B4" s="14" t="s">
        <v>64</v>
      </c>
      <c r="C4" s="14" t="s">
        <v>65</v>
      </c>
      <c r="D4" s="14" t="s">
        <v>94</v>
      </c>
      <c r="E4" s="6" t="s">
        <v>95</v>
      </c>
      <c r="F4" s="14" t="s">
        <v>80</v>
      </c>
      <c r="G4" s="5" t="s">
        <v>96</v>
      </c>
      <c r="H4" s="5" t="s">
        <v>97</v>
      </c>
      <c r="I4" s="14" t="n">
        <v>2023</v>
      </c>
      <c r="J4" s="5" t="s">
        <v>70</v>
      </c>
      <c r="K4" s="6" t="s">
        <v>71</v>
      </c>
      <c r="L4" s="14"/>
      <c r="M4" s="7"/>
      <c r="N4" s="14" t="s">
        <v>98</v>
      </c>
      <c r="O4" s="14" t="s">
        <v>99</v>
      </c>
      <c r="P4" s="14" t="s">
        <v>100</v>
      </c>
      <c r="Q4" s="14" t="s">
        <v>101</v>
      </c>
      <c r="R4" s="14" t="s">
        <v>88</v>
      </c>
      <c r="S4" s="14" t="s">
        <v>102</v>
      </c>
      <c r="T4" s="14" t="s">
        <v>103</v>
      </c>
      <c r="U4" s="14" t="s">
        <v>104</v>
      </c>
      <c r="V4" s="7"/>
      <c r="W4" s="7"/>
      <c r="X4" s="15" t="s">
        <v>105</v>
      </c>
      <c r="Y4" s="14" t="s">
        <v>106</v>
      </c>
      <c r="Z4" s="14" t="s">
        <v>107</v>
      </c>
    </row>
    <row r="5" customFormat="false" ht="45" hidden="false" customHeight="true" outlineLevel="0" collapsed="false">
      <c r="A5" s="14" t="n">
        <v>4</v>
      </c>
      <c r="B5" s="14" t="s">
        <v>64</v>
      </c>
      <c r="C5" s="14" t="s">
        <v>65</v>
      </c>
      <c r="D5" s="14" t="s">
        <v>66</v>
      </c>
      <c r="E5" s="14" t="s">
        <v>66</v>
      </c>
      <c r="F5" s="14" t="s">
        <v>80</v>
      </c>
      <c r="G5" s="14" t="s">
        <v>108</v>
      </c>
      <c r="H5" s="5" t="s">
        <v>109</v>
      </c>
      <c r="I5" s="14" t="n">
        <v>2023</v>
      </c>
      <c r="J5" s="5" t="s">
        <v>70</v>
      </c>
      <c r="K5" s="6" t="s">
        <v>71</v>
      </c>
      <c r="L5" s="14" t="s">
        <v>110</v>
      </c>
      <c r="M5" s="7"/>
      <c r="N5" s="14" t="s">
        <v>111</v>
      </c>
      <c r="O5" s="14" t="s">
        <v>112</v>
      </c>
      <c r="P5" s="14" t="s">
        <v>113</v>
      </c>
      <c r="Q5" s="14" t="s">
        <v>114</v>
      </c>
      <c r="R5" s="14" t="s">
        <v>88</v>
      </c>
      <c r="S5" s="14" t="s">
        <v>115</v>
      </c>
      <c r="T5" s="14" t="s">
        <v>116</v>
      </c>
      <c r="U5" s="14" t="s">
        <v>117</v>
      </c>
      <c r="V5" s="7"/>
      <c r="W5" s="7"/>
      <c r="X5" s="15" t="s">
        <v>118</v>
      </c>
      <c r="Y5" s="14" t="s">
        <v>119</v>
      </c>
      <c r="Z5" s="14"/>
    </row>
    <row r="6" customFormat="false" ht="45" hidden="false" customHeight="true" outlineLevel="0" collapsed="false">
      <c r="A6" s="14" t="n">
        <v>5</v>
      </c>
      <c r="B6" s="14" t="s">
        <v>64</v>
      </c>
      <c r="C6" s="14" t="s">
        <v>65</v>
      </c>
      <c r="D6" s="14" t="s">
        <v>120</v>
      </c>
      <c r="E6" s="6" t="s">
        <v>121</v>
      </c>
      <c r="F6" s="14" t="s">
        <v>67</v>
      </c>
      <c r="G6" s="14" t="s">
        <v>122</v>
      </c>
      <c r="H6" s="14" t="s">
        <v>123</v>
      </c>
      <c r="I6" s="14" t="n">
        <v>2018</v>
      </c>
      <c r="J6" s="5" t="s">
        <v>70</v>
      </c>
      <c r="K6" s="6" t="s">
        <v>71</v>
      </c>
      <c r="L6" s="14" t="s">
        <v>124</v>
      </c>
      <c r="M6" s="7"/>
      <c r="N6" s="14" t="s">
        <v>125</v>
      </c>
      <c r="O6" s="14" t="s">
        <v>74</v>
      </c>
      <c r="P6" s="14" t="s">
        <v>74</v>
      </c>
      <c r="Q6" s="14" t="s">
        <v>74</v>
      </c>
      <c r="R6" s="14" t="s">
        <v>74</v>
      </c>
      <c r="S6" s="14" t="s">
        <v>126</v>
      </c>
      <c r="T6" s="14" t="s">
        <v>127</v>
      </c>
      <c r="U6" s="14" t="s">
        <v>128</v>
      </c>
      <c r="V6" s="7"/>
      <c r="W6" s="7"/>
      <c r="X6" s="15" t="s">
        <v>129</v>
      </c>
      <c r="Y6" s="14" t="s">
        <v>123</v>
      </c>
      <c r="Z6" s="14"/>
    </row>
    <row r="7" customFormat="false" ht="45" hidden="false" customHeight="true" outlineLevel="0" collapsed="false">
      <c r="A7" s="14" t="n">
        <v>6</v>
      </c>
      <c r="B7" s="14" t="s">
        <v>64</v>
      </c>
      <c r="C7" s="14" t="s">
        <v>65</v>
      </c>
      <c r="D7" s="14" t="s">
        <v>120</v>
      </c>
      <c r="E7" s="6" t="s">
        <v>121</v>
      </c>
      <c r="F7" s="14" t="s">
        <v>67</v>
      </c>
      <c r="G7" s="14" t="s">
        <v>130</v>
      </c>
      <c r="H7" s="14" t="s">
        <v>131</v>
      </c>
      <c r="I7" s="14" t="n">
        <v>1995</v>
      </c>
      <c r="J7" s="5" t="s">
        <v>70</v>
      </c>
      <c r="K7" s="6" t="s">
        <v>71</v>
      </c>
      <c r="L7" s="14" t="s">
        <v>132</v>
      </c>
      <c r="M7" s="7"/>
      <c r="N7" s="14" t="s">
        <v>133</v>
      </c>
      <c r="O7" s="14" t="s">
        <v>74</v>
      </c>
      <c r="P7" s="14" t="s">
        <v>74</v>
      </c>
      <c r="Q7" s="14" t="s">
        <v>74</v>
      </c>
      <c r="R7" s="14" t="s">
        <v>74</v>
      </c>
      <c r="S7" s="14" t="s">
        <v>134</v>
      </c>
      <c r="T7" s="14" t="s">
        <v>135</v>
      </c>
      <c r="U7" s="14" t="s">
        <v>136</v>
      </c>
      <c r="V7" s="7"/>
      <c r="W7" s="7"/>
      <c r="X7" s="15" t="s">
        <v>137</v>
      </c>
      <c r="Y7" s="14" t="s">
        <v>138</v>
      </c>
      <c r="Z7" s="14"/>
    </row>
    <row r="8" customFormat="false" ht="45" hidden="false" customHeight="true" outlineLevel="0" collapsed="false">
      <c r="A8" s="14" t="n">
        <v>7</v>
      </c>
      <c r="B8" s="14" t="s">
        <v>64</v>
      </c>
      <c r="C8" s="14" t="s">
        <v>65</v>
      </c>
      <c r="D8" s="14" t="s">
        <v>66</v>
      </c>
      <c r="E8" s="14" t="s">
        <v>66</v>
      </c>
      <c r="F8" s="14" t="s">
        <v>139</v>
      </c>
      <c r="G8" s="14" t="s">
        <v>140</v>
      </c>
      <c r="H8" s="14" t="s">
        <v>141</v>
      </c>
      <c r="I8" s="14" t="n">
        <v>2017</v>
      </c>
      <c r="J8" s="5" t="s">
        <v>70</v>
      </c>
      <c r="K8" s="6" t="s">
        <v>71</v>
      </c>
      <c r="L8" s="14" t="s">
        <v>142</v>
      </c>
      <c r="M8" s="7"/>
      <c r="N8" s="14" t="s">
        <v>143</v>
      </c>
      <c r="O8" s="14" t="s">
        <v>74</v>
      </c>
      <c r="P8" s="14" t="s">
        <v>74</v>
      </c>
      <c r="Q8" s="14" t="s">
        <v>74</v>
      </c>
      <c r="R8" s="14" t="s">
        <v>74</v>
      </c>
      <c r="S8" s="14" t="s">
        <v>144</v>
      </c>
      <c r="T8" s="14" t="s">
        <v>145</v>
      </c>
      <c r="U8" s="14" t="s">
        <v>146</v>
      </c>
      <c r="V8" s="7"/>
      <c r="W8" s="7"/>
      <c r="X8" s="15" t="s">
        <v>147</v>
      </c>
      <c r="Y8" s="14" t="s">
        <v>148</v>
      </c>
      <c r="Z8" s="14"/>
    </row>
    <row r="9" customFormat="false" ht="45" hidden="false" customHeight="true" outlineLevel="0" collapsed="false">
      <c r="A9" s="14" t="n">
        <v>8</v>
      </c>
      <c r="B9" s="14" t="s">
        <v>64</v>
      </c>
      <c r="C9" s="14" t="s">
        <v>65</v>
      </c>
      <c r="D9" s="14" t="s">
        <v>149</v>
      </c>
      <c r="E9" s="6" t="s">
        <v>150</v>
      </c>
      <c r="F9" s="14" t="s">
        <v>139</v>
      </c>
      <c r="G9" s="14" t="s">
        <v>151</v>
      </c>
      <c r="H9" s="5" t="s">
        <v>152</v>
      </c>
      <c r="I9" s="14" t="n">
        <v>2020</v>
      </c>
      <c r="J9" s="5" t="s">
        <v>70</v>
      </c>
      <c r="K9" s="6" t="s">
        <v>71</v>
      </c>
      <c r="L9" s="14" t="s">
        <v>153</v>
      </c>
      <c r="M9" s="7"/>
      <c r="N9" s="14" t="s">
        <v>154</v>
      </c>
      <c r="O9" s="14" t="s">
        <v>74</v>
      </c>
      <c r="P9" s="14" t="s">
        <v>74</v>
      </c>
      <c r="Q9" s="14" t="s">
        <v>74</v>
      </c>
      <c r="R9" s="14" t="s">
        <v>74</v>
      </c>
      <c r="S9" s="14" t="s">
        <v>155</v>
      </c>
      <c r="T9" s="14" t="s">
        <v>156</v>
      </c>
      <c r="U9" s="14" t="s">
        <v>157</v>
      </c>
      <c r="V9" s="7"/>
      <c r="W9" s="7"/>
      <c r="X9" s="15" t="s">
        <v>158</v>
      </c>
      <c r="Y9" s="14" t="s">
        <v>159</v>
      </c>
      <c r="Z9" s="14"/>
    </row>
    <row r="10" customFormat="false" ht="45" hidden="false" customHeight="true" outlineLevel="0" collapsed="false">
      <c r="A10" s="14" t="n">
        <v>9</v>
      </c>
      <c r="B10" s="14" t="s">
        <v>64</v>
      </c>
      <c r="C10" s="14" t="s">
        <v>65</v>
      </c>
      <c r="D10" s="14" t="s">
        <v>160</v>
      </c>
      <c r="E10" s="6" t="s">
        <v>161</v>
      </c>
      <c r="F10" s="14" t="s">
        <v>139</v>
      </c>
      <c r="G10" s="14" t="s">
        <v>162</v>
      </c>
      <c r="H10" s="5" t="s">
        <v>163</v>
      </c>
      <c r="I10" s="14" t="n">
        <v>2019</v>
      </c>
      <c r="J10" s="5" t="s">
        <v>70</v>
      </c>
      <c r="K10" s="6" t="s">
        <v>71</v>
      </c>
      <c r="L10" s="14" t="s">
        <v>164</v>
      </c>
      <c r="M10" s="7"/>
      <c r="N10" s="14" t="s">
        <v>165</v>
      </c>
      <c r="O10" s="14" t="s">
        <v>74</v>
      </c>
      <c r="P10" s="14" t="s">
        <v>74</v>
      </c>
      <c r="Q10" s="14" t="s">
        <v>74</v>
      </c>
      <c r="R10" s="14" t="s">
        <v>74</v>
      </c>
      <c r="S10" s="14" t="s">
        <v>166</v>
      </c>
      <c r="T10" s="14" t="s">
        <v>167</v>
      </c>
      <c r="U10" s="14" t="s">
        <v>168</v>
      </c>
      <c r="V10" s="7"/>
      <c r="W10" s="7"/>
      <c r="X10" s="15" t="s">
        <v>169</v>
      </c>
      <c r="Y10" s="14" t="s">
        <v>170</v>
      </c>
      <c r="Z10" s="14"/>
    </row>
    <row r="11" customFormat="false" ht="45" hidden="false" customHeight="true" outlineLevel="0" collapsed="false">
      <c r="A11" s="14" t="n">
        <v>10</v>
      </c>
      <c r="B11" s="14" t="s">
        <v>64</v>
      </c>
      <c r="C11" s="14" t="s">
        <v>65</v>
      </c>
      <c r="D11" s="14" t="s">
        <v>160</v>
      </c>
      <c r="E11" s="6" t="s">
        <v>161</v>
      </c>
      <c r="F11" s="14" t="s">
        <v>171</v>
      </c>
      <c r="G11" s="14" t="s">
        <v>172</v>
      </c>
      <c r="H11" s="14" t="s">
        <v>173</v>
      </c>
      <c r="I11" s="14" t="n">
        <v>2017</v>
      </c>
      <c r="J11" s="5" t="s">
        <v>70</v>
      </c>
      <c r="K11" s="6" t="s">
        <v>71</v>
      </c>
      <c r="L11" s="14" t="s">
        <v>174</v>
      </c>
      <c r="M11" s="7"/>
      <c r="N11" s="14" t="s">
        <v>175</v>
      </c>
      <c r="O11" s="14" t="s">
        <v>74</v>
      </c>
      <c r="P11" s="14" t="s">
        <v>74</v>
      </c>
      <c r="Q11" s="14" t="s">
        <v>74</v>
      </c>
      <c r="R11" s="14" t="s">
        <v>74</v>
      </c>
      <c r="S11" s="14" t="s">
        <v>176</v>
      </c>
      <c r="T11" s="14" t="s">
        <v>177</v>
      </c>
      <c r="U11" s="14" t="s">
        <v>178</v>
      </c>
      <c r="V11" s="7"/>
      <c r="W11" s="7"/>
      <c r="X11" s="15" t="s">
        <v>179</v>
      </c>
      <c r="Y11" s="14" t="s">
        <v>180</v>
      </c>
      <c r="Z11" s="14"/>
    </row>
    <row r="12" customFormat="false" ht="45" hidden="false" customHeight="true" outlineLevel="0" collapsed="false">
      <c r="A12" s="14" t="n">
        <v>11</v>
      </c>
      <c r="B12" s="14" t="s">
        <v>64</v>
      </c>
      <c r="C12" s="14" t="s">
        <v>65</v>
      </c>
      <c r="D12" s="14" t="s">
        <v>94</v>
      </c>
      <c r="E12" s="6" t="s">
        <v>95</v>
      </c>
      <c r="F12" s="14" t="s">
        <v>171</v>
      </c>
      <c r="G12" s="14" t="s">
        <v>181</v>
      </c>
      <c r="H12" s="14" t="s">
        <v>182</v>
      </c>
      <c r="I12" s="14" t="n">
        <v>2022</v>
      </c>
      <c r="J12" s="5" t="s">
        <v>70</v>
      </c>
      <c r="K12" s="6" t="s">
        <v>71</v>
      </c>
      <c r="L12" s="14" t="s">
        <v>183</v>
      </c>
      <c r="M12" s="7"/>
      <c r="N12" s="14" t="s">
        <v>184</v>
      </c>
      <c r="O12" s="14" t="s">
        <v>74</v>
      </c>
      <c r="P12" s="14" t="s">
        <v>74</v>
      </c>
      <c r="Q12" s="14" t="s">
        <v>74</v>
      </c>
      <c r="R12" s="14" t="s">
        <v>74</v>
      </c>
      <c r="S12" s="14" t="s">
        <v>185</v>
      </c>
      <c r="T12" s="14" t="s">
        <v>186</v>
      </c>
      <c r="U12" s="14" t="s">
        <v>187</v>
      </c>
      <c r="V12" s="7"/>
      <c r="W12" s="7"/>
      <c r="X12" s="15" t="s">
        <v>188</v>
      </c>
      <c r="Y12" s="14" t="s">
        <v>189</v>
      </c>
      <c r="Z12" s="14"/>
    </row>
    <row r="13" customFormat="false" ht="45" hidden="false" customHeight="true" outlineLevel="0" collapsed="false">
      <c r="A13" s="14" t="n">
        <v>12</v>
      </c>
      <c r="B13" s="14" t="s">
        <v>64</v>
      </c>
      <c r="C13" s="14" t="s">
        <v>65</v>
      </c>
      <c r="D13" s="14" t="s">
        <v>66</v>
      </c>
      <c r="E13" s="14" t="s">
        <v>66</v>
      </c>
      <c r="F13" s="14" t="s">
        <v>190</v>
      </c>
      <c r="G13" s="14" t="s">
        <v>191</v>
      </c>
      <c r="H13" s="5" t="s">
        <v>192</v>
      </c>
      <c r="I13" s="14" t="n">
        <v>2017</v>
      </c>
      <c r="J13" s="5" t="s">
        <v>70</v>
      </c>
      <c r="K13" s="6" t="s">
        <v>71</v>
      </c>
      <c r="L13" s="14" t="s">
        <v>193</v>
      </c>
      <c r="M13" s="7"/>
      <c r="N13" s="14" t="s">
        <v>194</v>
      </c>
      <c r="O13" s="14" t="s">
        <v>74</v>
      </c>
      <c r="P13" s="14" t="s">
        <v>74</v>
      </c>
      <c r="Q13" s="14" t="s">
        <v>74</v>
      </c>
      <c r="R13" s="14" t="s">
        <v>74</v>
      </c>
      <c r="S13" s="14" t="s">
        <v>195</v>
      </c>
      <c r="T13" s="14" t="s">
        <v>196</v>
      </c>
      <c r="U13" s="14" t="s">
        <v>197</v>
      </c>
      <c r="V13" s="7"/>
      <c r="W13" s="7"/>
      <c r="X13" s="15" t="s">
        <v>198</v>
      </c>
      <c r="Y13" s="14" t="s">
        <v>199</v>
      </c>
      <c r="Z13" s="14"/>
    </row>
    <row r="14" customFormat="false" ht="45" hidden="false" customHeight="true" outlineLevel="0" collapsed="false">
      <c r="A14" s="14" t="n">
        <v>13</v>
      </c>
      <c r="B14" s="14" t="s">
        <v>64</v>
      </c>
      <c r="C14" s="14" t="s">
        <v>65</v>
      </c>
      <c r="D14" s="14" t="s">
        <v>66</v>
      </c>
      <c r="E14" s="14" t="s">
        <v>66</v>
      </c>
      <c r="F14" s="14" t="s">
        <v>190</v>
      </c>
      <c r="G14" s="14" t="s">
        <v>200</v>
      </c>
      <c r="H14" s="5" t="s">
        <v>201</v>
      </c>
      <c r="I14" s="14" t="n">
        <v>2011</v>
      </c>
      <c r="J14" s="5" t="s">
        <v>70</v>
      </c>
      <c r="K14" s="6" t="s">
        <v>71</v>
      </c>
      <c r="L14" s="14" t="s">
        <v>202</v>
      </c>
      <c r="M14" s="7"/>
      <c r="N14" s="14" t="s">
        <v>203</v>
      </c>
      <c r="O14" s="14" t="s">
        <v>74</v>
      </c>
      <c r="P14" s="14" t="s">
        <v>74</v>
      </c>
      <c r="Q14" s="14" t="s">
        <v>74</v>
      </c>
      <c r="R14" s="14" t="s">
        <v>74</v>
      </c>
      <c r="S14" s="14" t="s">
        <v>204</v>
      </c>
      <c r="T14" s="14" t="s">
        <v>205</v>
      </c>
      <c r="U14" s="14" t="s">
        <v>206</v>
      </c>
      <c r="V14" s="7"/>
      <c r="W14" s="7"/>
      <c r="X14" s="15" t="s">
        <v>207</v>
      </c>
      <c r="Y14" s="14" t="s">
        <v>208</v>
      </c>
      <c r="Z14" s="14"/>
    </row>
    <row r="15" customFormat="false" ht="45" hidden="false" customHeight="true" outlineLevel="0" collapsed="false">
      <c r="A15" s="14" t="n">
        <v>14</v>
      </c>
      <c r="B15" s="14" t="s">
        <v>64</v>
      </c>
      <c r="C15" s="14" t="s">
        <v>65</v>
      </c>
      <c r="D15" s="14" t="s">
        <v>160</v>
      </c>
      <c r="E15" s="6" t="s">
        <v>161</v>
      </c>
      <c r="F15" s="14" t="s">
        <v>80</v>
      </c>
      <c r="G15" s="14" t="s">
        <v>209</v>
      </c>
      <c r="H15" s="5" t="s">
        <v>210</v>
      </c>
      <c r="I15" s="14" t="n">
        <v>2024</v>
      </c>
      <c r="J15" s="5" t="s">
        <v>70</v>
      </c>
      <c r="K15" s="6" t="s">
        <v>71</v>
      </c>
      <c r="L15" s="14" t="s">
        <v>211</v>
      </c>
      <c r="M15" s="7"/>
      <c r="N15" s="14" t="s">
        <v>212</v>
      </c>
      <c r="O15" s="14" t="s">
        <v>213</v>
      </c>
      <c r="P15" s="14" t="s">
        <v>214</v>
      </c>
      <c r="Q15" s="14" t="s">
        <v>215</v>
      </c>
      <c r="R15" s="14" t="s">
        <v>216</v>
      </c>
      <c r="S15" s="14" t="s">
        <v>217</v>
      </c>
      <c r="T15" s="14" t="s">
        <v>218</v>
      </c>
      <c r="U15" s="14" t="s">
        <v>219</v>
      </c>
      <c r="V15" s="7"/>
      <c r="W15" s="7"/>
      <c r="X15" s="15" t="s">
        <v>220</v>
      </c>
      <c r="Y15" s="14" t="s">
        <v>221</v>
      </c>
      <c r="Z15" s="14"/>
    </row>
    <row r="16" customFormat="false" ht="45" hidden="false" customHeight="true" outlineLevel="0" collapsed="false">
      <c r="A16" s="14" t="n">
        <v>15</v>
      </c>
      <c r="B16" s="14" t="s">
        <v>64</v>
      </c>
      <c r="C16" s="14" t="s">
        <v>65</v>
      </c>
      <c r="D16" s="14" t="s">
        <v>66</v>
      </c>
      <c r="E16" s="14" t="s">
        <v>66</v>
      </c>
      <c r="F16" s="14" t="s">
        <v>80</v>
      </c>
      <c r="G16" s="14" t="s">
        <v>222</v>
      </c>
      <c r="H16" s="14" t="s">
        <v>223</v>
      </c>
      <c r="I16" s="14" t="n">
        <v>2023</v>
      </c>
      <c r="J16" s="5" t="s">
        <v>70</v>
      </c>
      <c r="K16" s="6" t="s">
        <v>71</v>
      </c>
      <c r="L16" s="14" t="s">
        <v>224</v>
      </c>
      <c r="M16" s="7"/>
      <c r="N16" s="14" t="s">
        <v>225</v>
      </c>
      <c r="O16" s="14" t="s">
        <v>226</v>
      </c>
      <c r="P16" s="14" t="s">
        <v>227</v>
      </c>
      <c r="Q16" s="14" t="s">
        <v>228</v>
      </c>
      <c r="R16" s="14" t="s">
        <v>229</v>
      </c>
      <c r="S16" s="14" t="s">
        <v>230</v>
      </c>
      <c r="T16" s="14" t="s">
        <v>231</v>
      </c>
      <c r="U16" s="14" t="s">
        <v>232</v>
      </c>
      <c r="V16" s="7"/>
      <c r="W16" s="7"/>
      <c r="X16" s="15" t="s">
        <v>233</v>
      </c>
      <c r="Y16" s="14" t="s">
        <v>221</v>
      </c>
      <c r="Z16" s="14"/>
    </row>
    <row r="17" customFormat="false" ht="45" hidden="false" customHeight="true" outlineLevel="0" collapsed="false">
      <c r="A17" s="14" t="n">
        <v>16</v>
      </c>
      <c r="B17" s="14" t="s">
        <v>64</v>
      </c>
      <c r="C17" s="14" t="s">
        <v>65</v>
      </c>
      <c r="D17" s="14" t="s">
        <v>234</v>
      </c>
      <c r="E17" s="6" t="s">
        <v>95</v>
      </c>
      <c r="F17" s="14" t="s">
        <v>190</v>
      </c>
      <c r="G17" s="14" t="s">
        <v>235</v>
      </c>
      <c r="H17" s="5" t="s">
        <v>236</v>
      </c>
      <c r="I17" s="14" t="n">
        <v>2021</v>
      </c>
      <c r="J17" s="5" t="s">
        <v>70</v>
      </c>
      <c r="K17" s="6" t="s">
        <v>71</v>
      </c>
      <c r="L17" s="14" t="s">
        <v>237</v>
      </c>
      <c r="M17" s="7"/>
      <c r="N17" s="14" t="s">
        <v>238</v>
      </c>
      <c r="O17" s="14" t="s">
        <v>74</v>
      </c>
      <c r="P17" s="14" t="s">
        <v>74</v>
      </c>
      <c r="Q17" s="14" t="s">
        <v>74</v>
      </c>
      <c r="R17" s="14" t="s">
        <v>74</v>
      </c>
      <c r="S17" s="14" t="s">
        <v>239</v>
      </c>
      <c r="T17" s="14" t="s">
        <v>240</v>
      </c>
      <c r="U17" s="14" t="s">
        <v>241</v>
      </c>
      <c r="V17" s="7"/>
      <c r="W17" s="7"/>
      <c r="X17" s="15" t="s">
        <v>242</v>
      </c>
      <c r="Y17" s="14" t="s">
        <v>243</v>
      </c>
      <c r="Z17" s="14"/>
    </row>
    <row r="18" customFormat="false" ht="45" hidden="false" customHeight="true" outlineLevel="0" collapsed="false">
      <c r="A18" s="14" t="n">
        <v>17</v>
      </c>
      <c r="B18" s="14" t="s">
        <v>64</v>
      </c>
      <c r="C18" s="14" t="s">
        <v>65</v>
      </c>
      <c r="D18" s="14" t="s">
        <v>66</v>
      </c>
      <c r="E18" s="14" t="s">
        <v>66</v>
      </c>
      <c r="F18" s="14" t="s">
        <v>190</v>
      </c>
      <c r="G18" s="14" t="s">
        <v>244</v>
      </c>
      <c r="H18" s="14" t="s">
        <v>245</v>
      </c>
      <c r="I18" s="14" t="n">
        <v>2022</v>
      </c>
      <c r="J18" s="5" t="s">
        <v>70</v>
      </c>
      <c r="K18" s="6" t="s">
        <v>71</v>
      </c>
      <c r="L18" s="14" t="s">
        <v>246</v>
      </c>
      <c r="M18" s="7"/>
      <c r="N18" s="14" t="s">
        <v>247</v>
      </c>
      <c r="O18" s="14" t="s">
        <v>74</v>
      </c>
      <c r="P18" s="14" t="s">
        <v>74</v>
      </c>
      <c r="Q18" s="14" t="s">
        <v>74</v>
      </c>
      <c r="R18" s="14" t="s">
        <v>74</v>
      </c>
      <c r="S18" s="14" t="s">
        <v>248</v>
      </c>
      <c r="T18" s="14" t="s">
        <v>249</v>
      </c>
      <c r="U18" s="14" t="s">
        <v>250</v>
      </c>
      <c r="V18" s="7"/>
      <c r="W18" s="7"/>
      <c r="X18" s="15" t="s">
        <v>251</v>
      </c>
      <c r="Y18" s="14" t="s">
        <v>243</v>
      </c>
      <c r="Z18" s="14"/>
    </row>
    <row r="19" customFormat="false" ht="45" hidden="false" customHeight="true" outlineLevel="0" collapsed="false">
      <c r="A19" s="14" t="n">
        <v>18</v>
      </c>
      <c r="B19" s="14" t="s">
        <v>64</v>
      </c>
      <c r="C19" s="14" t="s">
        <v>65</v>
      </c>
      <c r="D19" s="14" t="s">
        <v>66</v>
      </c>
      <c r="E19" s="14" t="s">
        <v>66</v>
      </c>
      <c r="F19" s="14" t="s">
        <v>190</v>
      </c>
      <c r="G19" s="14" t="s">
        <v>252</v>
      </c>
      <c r="H19" s="14" t="s">
        <v>253</v>
      </c>
      <c r="I19" s="14" t="n">
        <v>2019</v>
      </c>
      <c r="J19" s="5" t="s">
        <v>70</v>
      </c>
      <c r="K19" s="6" t="s">
        <v>71</v>
      </c>
      <c r="L19" s="14" t="s">
        <v>254</v>
      </c>
      <c r="M19" s="7"/>
      <c r="N19" s="14" t="s">
        <v>255</v>
      </c>
      <c r="O19" s="14" t="s">
        <v>74</v>
      </c>
      <c r="P19" s="14" t="s">
        <v>74</v>
      </c>
      <c r="Q19" s="14" t="s">
        <v>74</v>
      </c>
      <c r="R19" s="14" t="s">
        <v>74</v>
      </c>
      <c r="S19" s="14" t="s">
        <v>256</v>
      </c>
      <c r="T19" s="14" t="s">
        <v>257</v>
      </c>
      <c r="U19" s="14" t="s">
        <v>258</v>
      </c>
      <c r="V19" s="7"/>
      <c r="W19" s="7"/>
      <c r="X19" s="15" t="s">
        <v>259</v>
      </c>
      <c r="Y19" s="14" t="s">
        <v>260</v>
      </c>
      <c r="Z19" s="14"/>
    </row>
    <row r="20" customFormat="false" ht="45" hidden="false" customHeight="true" outlineLevel="0" collapsed="false">
      <c r="A20" s="14" t="n">
        <v>19</v>
      </c>
      <c r="B20" s="14" t="s">
        <v>64</v>
      </c>
      <c r="C20" s="14" t="s">
        <v>65</v>
      </c>
      <c r="D20" s="14" t="s">
        <v>66</v>
      </c>
      <c r="E20" s="14" t="s">
        <v>66</v>
      </c>
      <c r="F20" s="14" t="s">
        <v>190</v>
      </c>
      <c r="G20" s="14" t="s">
        <v>261</v>
      </c>
      <c r="H20" s="14" t="s">
        <v>262</v>
      </c>
      <c r="I20" s="14" t="n">
        <v>2018</v>
      </c>
      <c r="J20" s="5" t="s">
        <v>70</v>
      </c>
      <c r="K20" s="6" t="s">
        <v>71</v>
      </c>
      <c r="L20" s="14" t="s">
        <v>263</v>
      </c>
      <c r="M20" s="7"/>
      <c r="N20" s="14" t="s">
        <v>264</v>
      </c>
      <c r="O20" s="14" t="s">
        <v>74</v>
      </c>
      <c r="P20" s="14" t="s">
        <v>74</v>
      </c>
      <c r="Q20" s="14" t="s">
        <v>74</v>
      </c>
      <c r="R20" s="14" t="s">
        <v>74</v>
      </c>
      <c r="S20" s="14" t="s">
        <v>265</v>
      </c>
      <c r="T20" s="14" t="s">
        <v>266</v>
      </c>
      <c r="U20" s="14" t="s">
        <v>267</v>
      </c>
      <c r="V20" s="7"/>
      <c r="W20" s="7"/>
      <c r="X20" s="15" t="s">
        <v>268</v>
      </c>
      <c r="Y20" s="14" t="s">
        <v>260</v>
      </c>
      <c r="Z20" s="14"/>
    </row>
    <row r="21" customFormat="false" ht="45" hidden="false" customHeight="true" outlineLevel="0" collapsed="false">
      <c r="A21" s="14" t="n">
        <v>20</v>
      </c>
      <c r="B21" s="14" t="s">
        <v>64</v>
      </c>
      <c r="C21" s="14" t="s">
        <v>65</v>
      </c>
      <c r="D21" s="14" t="s">
        <v>269</v>
      </c>
      <c r="E21" s="6" t="s">
        <v>150</v>
      </c>
      <c r="F21" s="14" t="s">
        <v>190</v>
      </c>
      <c r="G21" s="14" t="s">
        <v>270</v>
      </c>
      <c r="H21" s="14" t="s">
        <v>271</v>
      </c>
      <c r="I21" s="14" t="n">
        <v>2018</v>
      </c>
      <c r="J21" s="5" t="s">
        <v>70</v>
      </c>
      <c r="K21" s="6" t="s">
        <v>71</v>
      </c>
      <c r="L21" s="14" t="s">
        <v>272</v>
      </c>
      <c r="M21" s="7"/>
      <c r="N21" s="14" t="s">
        <v>273</v>
      </c>
      <c r="O21" s="14" t="s">
        <v>74</v>
      </c>
      <c r="P21" s="14" t="s">
        <v>74</v>
      </c>
      <c r="Q21" s="14" t="s">
        <v>74</v>
      </c>
      <c r="R21" s="14" t="s">
        <v>74</v>
      </c>
      <c r="S21" s="14" t="s">
        <v>274</v>
      </c>
      <c r="T21" s="14" t="s">
        <v>275</v>
      </c>
      <c r="U21" s="14" t="s">
        <v>276</v>
      </c>
      <c r="V21" s="7"/>
      <c r="W21" s="7"/>
      <c r="X21" s="15" t="s">
        <v>277</v>
      </c>
      <c r="Y21" s="14" t="s">
        <v>260</v>
      </c>
      <c r="Z21" s="14"/>
    </row>
    <row r="22" customFormat="false" ht="45" hidden="false" customHeight="true" outlineLevel="0" collapsed="false">
      <c r="A22" s="14" t="n">
        <v>21</v>
      </c>
      <c r="B22" s="14" t="s">
        <v>64</v>
      </c>
      <c r="C22" s="14" t="s">
        <v>65</v>
      </c>
      <c r="D22" s="14" t="s">
        <v>160</v>
      </c>
      <c r="E22" s="6" t="s">
        <v>161</v>
      </c>
      <c r="F22" s="14" t="s">
        <v>278</v>
      </c>
      <c r="G22" s="14" t="s">
        <v>279</v>
      </c>
      <c r="H22" s="5" t="s">
        <v>280</v>
      </c>
      <c r="I22" s="14" t="n">
        <v>2021</v>
      </c>
      <c r="J22" s="5" t="s">
        <v>70</v>
      </c>
      <c r="K22" s="6" t="s">
        <v>71</v>
      </c>
      <c r="L22" s="14" t="s">
        <v>281</v>
      </c>
      <c r="M22" s="7"/>
      <c r="N22" s="14" t="s">
        <v>282</v>
      </c>
      <c r="O22" s="14" t="s">
        <v>74</v>
      </c>
      <c r="P22" s="14" t="s">
        <v>74</v>
      </c>
      <c r="Q22" s="14" t="s">
        <v>74</v>
      </c>
      <c r="R22" s="14" t="s">
        <v>74</v>
      </c>
      <c r="S22" s="14" t="s">
        <v>283</v>
      </c>
      <c r="T22" s="14" t="s">
        <v>284</v>
      </c>
      <c r="U22" s="14" t="s">
        <v>285</v>
      </c>
      <c r="V22" s="7"/>
      <c r="W22" s="7"/>
      <c r="X22" s="15" t="s">
        <v>286</v>
      </c>
      <c r="Y22" s="14" t="s">
        <v>287</v>
      </c>
      <c r="Z22" s="14"/>
    </row>
    <row r="23" customFormat="false" ht="45" hidden="false" customHeight="true" outlineLevel="0" collapsed="false">
      <c r="A23" s="14" t="n">
        <v>22</v>
      </c>
      <c r="B23" s="14" t="s">
        <v>64</v>
      </c>
      <c r="C23" s="14" t="s">
        <v>65</v>
      </c>
      <c r="D23" s="14" t="s">
        <v>120</v>
      </c>
      <c r="E23" s="6" t="s">
        <v>121</v>
      </c>
      <c r="F23" s="14" t="s">
        <v>278</v>
      </c>
      <c r="G23" s="14" t="s">
        <v>288</v>
      </c>
      <c r="H23" s="5" t="s">
        <v>289</v>
      </c>
      <c r="I23" s="14" t="n">
        <v>2021</v>
      </c>
      <c r="J23" s="5" t="s">
        <v>70</v>
      </c>
      <c r="K23" s="6" t="s">
        <v>71</v>
      </c>
      <c r="L23" s="14" t="s">
        <v>290</v>
      </c>
      <c r="M23" s="7"/>
      <c r="N23" s="14" t="s">
        <v>291</v>
      </c>
      <c r="O23" s="14" t="s">
        <v>74</v>
      </c>
      <c r="P23" s="14" t="s">
        <v>74</v>
      </c>
      <c r="Q23" s="14" t="s">
        <v>74</v>
      </c>
      <c r="R23" s="14" t="s">
        <v>74</v>
      </c>
      <c r="S23" s="14" t="s">
        <v>292</v>
      </c>
      <c r="T23" s="14" t="s">
        <v>293</v>
      </c>
      <c r="U23" s="14" t="s">
        <v>294</v>
      </c>
      <c r="V23" s="7"/>
      <c r="W23" s="7"/>
      <c r="X23" s="15" t="s">
        <v>295</v>
      </c>
      <c r="Y23" s="14" t="s">
        <v>296</v>
      </c>
      <c r="Z23" s="14"/>
    </row>
    <row r="24" customFormat="false" ht="45" hidden="false" customHeight="true" outlineLevel="0" collapsed="false">
      <c r="A24" s="14" t="n">
        <v>23</v>
      </c>
      <c r="B24" s="14" t="s">
        <v>64</v>
      </c>
      <c r="C24" s="14" t="s">
        <v>65</v>
      </c>
      <c r="D24" s="14" t="s">
        <v>94</v>
      </c>
      <c r="E24" s="6" t="s">
        <v>95</v>
      </c>
      <c r="F24" s="14" t="s">
        <v>297</v>
      </c>
      <c r="G24" s="14" t="s">
        <v>298</v>
      </c>
      <c r="H24" s="5" t="s">
        <v>299</v>
      </c>
      <c r="I24" s="14" t="n">
        <v>2022</v>
      </c>
      <c r="J24" s="5" t="s">
        <v>70</v>
      </c>
      <c r="K24" s="6" t="s">
        <v>71</v>
      </c>
      <c r="L24" s="14" t="s">
        <v>300</v>
      </c>
      <c r="M24" s="7"/>
      <c r="N24" s="14" t="s">
        <v>301</v>
      </c>
      <c r="O24" s="14" t="s">
        <v>74</v>
      </c>
      <c r="P24" s="14" t="s">
        <v>74</v>
      </c>
      <c r="Q24" s="14" t="s">
        <v>74</v>
      </c>
      <c r="R24" s="14" t="s">
        <v>74</v>
      </c>
      <c r="S24" s="14" t="s">
        <v>302</v>
      </c>
      <c r="T24" s="14" t="s">
        <v>303</v>
      </c>
      <c r="U24" s="14" t="s">
        <v>304</v>
      </c>
      <c r="V24" s="7"/>
      <c r="W24" s="7"/>
      <c r="X24" s="15" t="s">
        <v>305</v>
      </c>
      <c r="Y24" s="14" t="s">
        <v>306</v>
      </c>
      <c r="Z24" s="14"/>
    </row>
    <row r="25" customFormat="false" ht="45" hidden="false" customHeight="true" outlineLevel="0" collapsed="false">
      <c r="A25" s="14" t="n">
        <v>24</v>
      </c>
      <c r="B25" s="14" t="s">
        <v>64</v>
      </c>
      <c r="C25" s="14" t="s">
        <v>65</v>
      </c>
      <c r="D25" s="14" t="s">
        <v>160</v>
      </c>
      <c r="E25" s="6" t="s">
        <v>161</v>
      </c>
      <c r="F25" s="14" t="s">
        <v>278</v>
      </c>
      <c r="G25" s="14" t="s">
        <v>307</v>
      </c>
      <c r="H25" s="5" t="s">
        <v>308</v>
      </c>
      <c r="I25" s="14" t="n">
        <v>2017</v>
      </c>
      <c r="J25" s="5" t="s">
        <v>70</v>
      </c>
      <c r="K25" s="6" t="s">
        <v>71</v>
      </c>
      <c r="L25" s="14" t="s">
        <v>309</v>
      </c>
      <c r="M25" s="7"/>
      <c r="N25" s="14" t="s">
        <v>310</v>
      </c>
      <c r="O25" s="14" t="s">
        <v>74</v>
      </c>
      <c r="P25" s="14" t="s">
        <v>74</v>
      </c>
      <c r="Q25" s="14" t="s">
        <v>74</v>
      </c>
      <c r="R25" s="14" t="s">
        <v>74</v>
      </c>
      <c r="S25" s="14" t="s">
        <v>311</v>
      </c>
      <c r="T25" s="14" t="s">
        <v>312</v>
      </c>
      <c r="U25" s="14" t="s">
        <v>313</v>
      </c>
      <c r="V25" s="7"/>
      <c r="W25" s="7"/>
      <c r="X25" s="15" t="s">
        <v>314</v>
      </c>
      <c r="Y25" s="14" t="s">
        <v>315</v>
      </c>
      <c r="Z25" s="14"/>
    </row>
    <row r="26" customFormat="false" ht="45" hidden="false" customHeight="true" outlineLevel="0" collapsed="false">
      <c r="A26" s="14" t="n">
        <v>25</v>
      </c>
      <c r="B26" s="14" t="s">
        <v>64</v>
      </c>
      <c r="C26" s="14" t="s">
        <v>65</v>
      </c>
      <c r="D26" s="14" t="s">
        <v>120</v>
      </c>
      <c r="E26" s="6" t="s">
        <v>121</v>
      </c>
      <c r="F26" s="14" t="s">
        <v>278</v>
      </c>
      <c r="G26" s="14" t="s">
        <v>316</v>
      </c>
      <c r="H26" s="14" t="s">
        <v>317</v>
      </c>
      <c r="I26" s="14" t="n">
        <v>2020</v>
      </c>
      <c r="J26" s="5" t="s">
        <v>70</v>
      </c>
      <c r="K26" s="6" t="s">
        <v>71</v>
      </c>
      <c r="L26" s="14" t="s">
        <v>318</v>
      </c>
      <c r="M26" s="7"/>
      <c r="N26" s="14" t="s">
        <v>319</v>
      </c>
      <c r="O26" s="14" t="s">
        <v>74</v>
      </c>
      <c r="P26" s="14" t="s">
        <v>74</v>
      </c>
      <c r="Q26" s="14" t="s">
        <v>74</v>
      </c>
      <c r="R26" s="14" t="s">
        <v>74</v>
      </c>
      <c r="S26" s="14" t="s">
        <v>320</v>
      </c>
      <c r="T26" s="14" t="s">
        <v>321</v>
      </c>
      <c r="U26" s="14" t="s">
        <v>322</v>
      </c>
      <c r="V26" s="7"/>
      <c r="W26" s="7"/>
      <c r="X26" s="15" t="s">
        <v>323</v>
      </c>
      <c r="Y26" s="14" t="s">
        <v>324</v>
      </c>
      <c r="Z26" s="14"/>
    </row>
    <row r="27" customFormat="false" ht="45" hidden="false" customHeight="true" outlineLevel="0" collapsed="false">
      <c r="A27" s="14" t="n">
        <v>26</v>
      </c>
      <c r="B27" s="14" t="s">
        <v>64</v>
      </c>
      <c r="C27" s="14" t="s">
        <v>65</v>
      </c>
      <c r="D27" s="14" t="s">
        <v>94</v>
      </c>
      <c r="E27" s="6" t="s">
        <v>95</v>
      </c>
      <c r="F27" s="14" t="s">
        <v>278</v>
      </c>
      <c r="G27" s="14" t="s">
        <v>325</v>
      </c>
      <c r="H27" s="5" t="s">
        <v>326</v>
      </c>
      <c r="I27" s="14" t="n">
        <v>2024</v>
      </c>
      <c r="J27" s="5" t="s">
        <v>70</v>
      </c>
      <c r="K27" s="6" t="s">
        <v>71</v>
      </c>
      <c r="L27" s="14" t="s">
        <v>327</v>
      </c>
      <c r="M27" s="7"/>
      <c r="N27" s="14" t="s">
        <v>328</v>
      </c>
      <c r="O27" s="14" t="s">
        <v>74</v>
      </c>
      <c r="P27" s="14" t="s">
        <v>74</v>
      </c>
      <c r="Q27" s="14" t="s">
        <v>74</v>
      </c>
      <c r="R27" s="14" t="s">
        <v>74</v>
      </c>
      <c r="S27" s="14" t="s">
        <v>329</v>
      </c>
      <c r="T27" s="14" t="s">
        <v>330</v>
      </c>
      <c r="U27" s="14" t="s">
        <v>331</v>
      </c>
      <c r="V27" s="7"/>
      <c r="W27" s="7"/>
      <c r="X27" s="15" t="s">
        <v>332</v>
      </c>
      <c r="Y27" s="14" t="s">
        <v>333</v>
      </c>
      <c r="Z27" s="14"/>
    </row>
    <row r="28" customFormat="false" ht="45" hidden="false" customHeight="true" outlineLevel="0" collapsed="false">
      <c r="A28" s="14" t="n">
        <v>27</v>
      </c>
      <c r="B28" s="14" t="s">
        <v>64</v>
      </c>
      <c r="C28" s="14" t="s">
        <v>65</v>
      </c>
      <c r="D28" s="14" t="s">
        <v>94</v>
      </c>
      <c r="E28" s="6" t="s">
        <v>95</v>
      </c>
      <c r="F28" s="14" t="s">
        <v>297</v>
      </c>
      <c r="G28" s="14" t="s">
        <v>334</v>
      </c>
      <c r="H28" s="14" t="s">
        <v>335</v>
      </c>
      <c r="I28" s="14" t="n">
        <v>1990</v>
      </c>
      <c r="J28" s="5" t="s">
        <v>70</v>
      </c>
      <c r="K28" s="6" t="s">
        <v>71</v>
      </c>
      <c r="L28" s="14" t="s">
        <v>336</v>
      </c>
      <c r="M28" s="7"/>
      <c r="N28" s="14" t="s">
        <v>337</v>
      </c>
      <c r="O28" s="14" t="s">
        <v>74</v>
      </c>
      <c r="P28" s="14" t="s">
        <v>74</v>
      </c>
      <c r="Q28" s="14" t="s">
        <v>74</v>
      </c>
      <c r="R28" s="14" t="s">
        <v>74</v>
      </c>
      <c r="S28" s="14" t="s">
        <v>338</v>
      </c>
      <c r="T28" s="14" t="s">
        <v>339</v>
      </c>
      <c r="U28" s="14" t="s">
        <v>340</v>
      </c>
      <c r="V28" s="7"/>
      <c r="W28" s="7"/>
      <c r="X28" s="15" t="s">
        <v>341</v>
      </c>
      <c r="Y28" s="14" t="s">
        <v>123</v>
      </c>
      <c r="Z28" s="14"/>
    </row>
    <row r="29" customFormat="false" ht="45" hidden="false" customHeight="true" outlineLevel="0" collapsed="false">
      <c r="A29" s="14" t="n">
        <v>28</v>
      </c>
      <c r="B29" s="14" t="s">
        <v>64</v>
      </c>
      <c r="C29" s="14" t="s">
        <v>65</v>
      </c>
      <c r="D29" s="14" t="s">
        <v>94</v>
      </c>
      <c r="E29" s="6" t="s">
        <v>95</v>
      </c>
      <c r="F29" s="14" t="s">
        <v>297</v>
      </c>
      <c r="G29" s="14" t="s">
        <v>342</v>
      </c>
      <c r="H29" s="14" t="s">
        <v>343</v>
      </c>
      <c r="I29" s="14" t="n">
        <v>1990</v>
      </c>
      <c r="J29" s="5" t="s">
        <v>70</v>
      </c>
      <c r="K29" s="6" t="s">
        <v>71</v>
      </c>
      <c r="L29" s="14" t="s">
        <v>344</v>
      </c>
      <c r="M29" s="7"/>
      <c r="N29" s="14" t="s">
        <v>345</v>
      </c>
      <c r="O29" s="14" t="s">
        <v>74</v>
      </c>
      <c r="P29" s="14" t="s">
        <v>74</v>
      </c>
      <c r="Q29" s="14" t="s">
        <v>74</v>
      </c>
      <c r="R29" s="14" t="s">
        <v>74</v>
      </c>
      <c r="S29" s="14" t="s">
        <v>346</v>
      </c>
      <c r="T29" s="14" t="s">
        <v>347</v>
      </c>
      <c r="U29" s="14" t="s">
        <v>348</v>
      </c>
      <c r="V29" s="7"/>
      <c r="W29" s="7"/>
      <c r="X29" s="15" t="s">
        <v>349</v>
      </c>
      <c r="Y29" s="14" t="s">
        <v>350</v>
      </c>
      <c r="Z29" s="14"/>
    </row>
    <row r="30" customFormat="false" ht="45" hidden="false" customHeight="true" outlineLevel="0" collapsed="false">
      <c r="A30" s="14" t="n">
        <v>29</v>
      </c>
      <c r="B30" s="14" t="s">
        <v>64</v>
      </c>
      <c r="C30" s="14" t="s">
        <v>65</v>
      </c>
      <c r="D30" s="14" t="s">
        <v>66</v>
      </c>
      <c r="E30" s="14" t="s">
        <v>66</v>
      </c>
      <c r="F30" s="14" t="s">
        <v>297</v>
      </c>
      <c r="G30" s="14" t="s">
        <v>351</v>
      </c>
      <c r="H30" s="14" t="s">
        <v>352</v>
      </c>
      <c r="I30" s="14" t="n">
        <v>2024</v>
      </c>
      <c r="J30" s="5" t="s">
        <v>70</v>
      </c>
      <c r="K30" s="6" t="s">
        <v>71</v>
      </c>
      <c r="L30" s="14" t="s">
        <v>353</v>
      </c>
      <c r="M30" s="7"/>
      <c r="N30" s="14" t="s">
        <v>354</v>
      </c>
      <c r="O30" s="14" t="s">
        <v>74</v>
      </c>
      <c r="P30" s="14" t="s">
        <v>74</v>
      </c>
      <c r="Q30" s="14" t="s">
        <v>74</v>
      </c>
      <c r="R30" s="14" t="s">
        <v>74</v>
      </c>
      <c r="S30" s="14" t="s">
        <v>355</v>
      </c>
      <c r="T30" s="14" t="s">
        <v>356</v>
      </c>
      <c r="U30" s="14" t="s">
        <v>357</v>
      </c>
      <c r="V30" s="7"/>
      <c r="W30" s="7"/>
      <c r="X30" s="15" t="s">
        <v>358</v>
      </c>
      <c r="Y30" s="14" t="s">
        <v>260</v>
      </c>
      <c r="Z30" s="14"/>
    </row>
    <row r="31" customFormat="false" ht="45" hidden="false" customHeight="true" outlineLevel="0" collapsed="false">
      <c r="A31" s="14" t="n">
        <v>30</v>
      </c>
      <c r="B31" s="14" t="s">
        <v>64</v>
      </c>
      <c r="C31" s="14" t="s">
        <v>65</v>
      </c>
      <c r="D31" s="14" t="s">
        <v>94</v>
      </c>
      <c r="E31" s="6" t="s">
        <v>95</v>
      </c>
      <c r="F31" s="14" t="s">
        <v>359</v>
      </c>
      <c r="G31" s="14" t="s">
        <v>360</v>
      </c>
      <c r="H31" s="5" t="s">
        <v>361</v>
      </c>
      <c r="I31" s="14" t="n">
        <v>2022</v>
      </c>
      <c r="J31" s="5" t="s">
        <v>70</v>
      </c>
      <c r="K31" s="6" t="s">
        <v>71</v>
      </c>
      <c r="L31" s="14" t="s">
        <v>362</v>
      </c>
      <c r="M31" s="7"/>
      <c r="N31" s="14" t="s">
        <v>363</v>
      </c>
      <c r="O31" s="14" t="s">
        <v>74</v>
      </c>
      <c r="P31" s="14" t="s">
        <v>74</v>
      </c>
      <c r="Q31" s="14" t="s">
        <v>74</v>
      </c>
      <c r="R31" s="14" t="s">
        <v>74</v>
      </c>
      <c r="S31" s="14" t="s">
        <v>364</v>
      </c>
      <c r="T31" s="14" t="s">
        <v>321</v>
      </c>
      <c r="U31" s="14" t="s">
        <v>365</v>
      </c>
      <c r="V31" s="7"/>
      <c r="W31" s="7"/>
      <c r="X31" s="15" t="s">
        <v>366</v>
      </c>
      <c r="Y31" s="14" t="s">
        <v>93</v>
      </c>
      <c r="Z31" s="14"/>
    </row>
    <row r="32" customFormat="false" ht="45" hidden="false" customHeight="true" outlineLevel="0" collapsed="false">
      <c r="A32" s="14" t="n">
        <v>31</v>
      </c>
      <c r="B32" s="14" t="s">
        <v>64</v>
      </c>
      <c r="C32" s="14" t="s">
        <v>65</v>
      </c>
      <c r="D32" s="14" t="s">
        <v>66</v>
      </c>
      <c r="E32" s="14" t="s">
        <v>66</v>
      </c>
      <c r="F32" s="14" t="s">
        <v>359</v>
      </c>
      <c r="G32" s="14" t="s">
        <v>367</v>
      </c>
      <c r="H32" s="5" t="s">
        <v>368</v>
      </c>
      <c r="I32" s="14" t="n">
        <v>2019</v>
      </c>
      <c r="J32" s="5" t="s">
        <v>70</v>
      </c>
      <c r="K32" s="6" t="s">
        <v>71</v>
      </c>
      <c r="L32" s="14" t="s">
        <v>369</v>
      </c>
      <c r="M32" s="7"/>
      <c r="N32" s="14" t="s">
        <v>370</v>
      </c>
      <c r="O32" s="14" t="s">
        <v>74</v>
      </c>
      <c r="P32" s="14" t="s">
        <v>74</v>
      </c>
      <c r="Q32" s="14" t="s">
        <v>74</v>
      </c>
      <c r="R32" s="14" t="s">
        <v>74</v>
      </c>
      <c r="S32" s="14" t="s">
        <v>371</v>
      </c>
      <c r="T32" s="14" t="s">
        <v>372</v>
      </c>
      <c r="U32" s="14" t="s">
        <v>373</v>
      </c>
      <c r="V32" s="7"/>
      <c r="W32" s="7"/>
      <c r="X32" s="15" t="s">
        <v>374</v>
      </c>
      <c r="Y32" s="14" t="s">
        <v>375</v>
      </c>
      <c r="Z32" s="14"/>
    </row>
    <row r="33" customFormat="false" ht="45" hidden="false" customHeight="true" outlineLevel="0" collapsed="false">
      <c r="A33" s="14" t="n">
        <v>32</v>
      </c>
      <c r="B33" s="14" t="s">
        <v>64</v>
      </c>
      <c r="C33" s="14" t="s">
        <v>65</v>
      </c>
      <c r="D33" s="14" t="s">
        <v>66</v>
      </c>
      <c r="E33" s="14" t="s">
        <v>66</v>
      </c>
      <c r="F33" s="14" t="s">
        <v>359</v>
      </c>
      <c r="G33" s="14" t="s">
        <v>376</v>
      </c>
      <c r="H33" s="5" t="s">
        <v>377</v>
      </c>
      <c r="I33" s="14" t="n">
        <v>2016</v>
      </c>
      <c r="J33" s="5" t="s">
        <v>70</v>
      </c>
      <c r="K33" s="6" t="s">
        <v>71</v>
      </c>
      <c r="L33" s="14" t="s">
        <v>378</v>
      </c>
      <c r="M33" s="7"/>
      <c r="N33" s="14" t="s">
        <v>379</v>
      </c>
      <c r="O33" s="14" t="s">
        <v>74</v>
      </c>
      <c r="P33" s="14" t="s">
        <v>74</v>
      </c>
      <c r="Q33" s="14" t="s">
        <v>74</v>
      </c>
      <c r="R33" s="14" t="s">
        <v>74</v>
      </c>
      <c r="S33" s="14" t="s">
        <v>380</v>
      </c>
      <c r="T33" s="14" t="s">
        <v>381</v>
      </c>
      <c r="U33" s="14" t="s">
        <v>382</v>
      </c>
      <c r="V33" s="7"/>
      <c r="W33" s="7"/>
      <c r="X33" s="15" t="s">
        <v>383</v>
      </c>
      <c r="Y33" s="14" t="s">
        <v>375</v>
      </c>
      <c r="Z33" s="14"/>
    </row>
    <row r="34" customFormat="false" ht="45" hidden="false" customHeight="true" outlineLevel="0" collapsed="false">
      <c r="A34" s="14" t="n">
        <v>33</v>
      </c>
      <c r="B34" s="14" t="s">
        <v>64</v>
      </c>
      <c r="C34" s="14" t="s">
        <v>65</v>
      </c>
      <c r="D34" s="14" t="s">
        <v>66</v>
      </c>
      <c r="E34" s="14" t="s">
        <v>66</v>
      </c>
      <c r="F34" s="14" t="s">
        <v>359</v>
      </c>
      <c r="G34" s="5" t="s">
        <v>384</v>
      </c>
      <c r="H34" s="14" t="s">
        <v>385</v>
      </c>
      <c r="I34" s="14" t="n">
        <v>2023</v>
      </c>
      <c r="J34" s="5" t="s">
        <v>70</v>
      </c>
      <c r="K34" s="6" t="s">
        <v>71</v>
      </c>
      <c r="L34" s="14" t="s">
        <v>386</v>
      </c>
      <c r="M34" s="7"/>
      <c r="N34" s="14" t="s">
        <v>387</v>
      </c>
      <c r="O34" s="14" t="s">
        <v>74</v>
      </c>
      <c r="P34" s="14" t="s">
        <v>74</v>
      </c>
      <c r="Q34" s="14" t="s">
        <v>74</v>
      </c>
      <c r="R34" s="14" t="s">
        <v>74</v>
      </c>
      <c r="S34" s="14" t="s">
        <v>388</v>
      </c>
      <c r="T34" s="14" t="s">
        <v>389</v>
      </c>
      <c r="U34" s="14" t="s">
        <v>390</v>
      </c>
      <c r="V34" s="7"/>
      <c r="W34" s="7"/>
      <c r="X34" s="15" t="s">
        <v>391</v>
      </c>
      <c r="Y34" s="14" t="s">
        <v>375</v>
      </c>
      <c r="Z34" s="14"/>
    </row>
    <row r="35" customFormat="false" ht="45" hidden="false" customHeight="true" outlineLevel="0" collapsed="false">
      <c r="A35" s="14" t="n">
        <v>34</v>
      </c>
      <c r="B35" s="14" t="s">
        <v>64</v>
      </c>
      <c r="C35" s="14" t="s">
        <v>65</v>
      </c>
      <c r="D35" s="14" t="s">
        <v>66</v>
      </c>
      <c r="E35" s="14" t="s">
        <v>66</v>
      </c>
      <c r="F35" s="14" t="s">
        <v>359</v>
      </c>
      <c r="G35" s="14" t="s">
        <v>392</v>
      </c>
      <c r="H35" s="5" t="s">
        <v>393</v>
      </c>
      <c r="I35" s="14" t="n">
        <v>2023</v>
      </c>
      <c r="J35" s="5" t="s">
        <v>70</v>
      </c>
      <c r="K35" s="6" t="s">
        <v>71</v>
      </c>
      <c r="L35" s="14" t="s">
        <v>394</v>
      </c>
      <c r="M35" s="7"/>
      <c r="N35" s="14" t="s">
        <v>395</v>
      </c>
      <c r="O35" s="14" t="s">
        <v>74</v>
      </c>
      <c r="P35" s="14" t="s">
        <v>74</v>
      </c>
      <c r="Q35" s="14" t="s">
        <v>74</v>
      </c>
      <c r="R35" s="14" t="s">
        <v>74</v>
      </c>
      <c r="S35" s="14" t="s">
        <v>396</v>
      </c>
      <c r="T35" s="14" t="s">
        <v>397</v>
      </c>
      <c r="U35" s="14" t="s">
        <v>398</v>
      </c>
      <c r="V35" s="7"/>
      <c r="W35" s="7"/>
      <c r="X35" s="15" t="s">
        <v>399</v>
      </c>
      <c r="Y35" s="14" t="s">
        <v>400</v>
      </c>
      <c r="Z35" s="14"/>
    </row>
    <row r="36" customFormat="false" ht="45" hidden="false" customHeight="true" outlineLevel="0" collapsed="false">
      <c r="A36" s="14" t="n">
        <v>35</v>
      </c>
      <c r="B36" s="14" t="s">
        <v>64</v>
      </c>
      <c r="C36" s="14" t="s">
        <v>65</v>
      </c>
      <c r="D36" s="14" t="s">
        <v>94</v>
      </c>
      <c r="E36" s="6" t="s">
        <v>95</v>
      </c>
      <c r="F36" s="14" t="s">
        <v>359</v>
      </c>
      <c r="G36" s="5" t="s">
        <v>401</v>
      </c>
      <c r="H36" s="14" t="s">
        <v>402</v>
      </c>
      <c r="I36" s="14" t="n">
        <v>2022</v>
      </c>
      <c r="J36" s="5" t="s">
        <v>70</v>
      </c>
      <c r="K36" s="6" t="s">
        <v>71</v>
      </c>
      <c r="L36" s="14" t="s">
        <v>403</v>
      </c>
      <c r="M36" s="7"/>
      <c r="N36" s="14" t="s">
        <v>404</v>
      </c>
      <c r="O36" s="14" t="s">
        <v>74</v>
      </c>
      <c r="P36" s="14" t="s">
        <v>74</v>
      </c>
      <c r="Q36" s="14" t="s">
        <v>74</v>
      </c>
      <c r="R36" s="14" t="s">
        <v>74</v>
      </c>
      <c r="S36" s="14" t="s">
        <v>405</v>
      </c>
      <c r="T36" s="14" t="s">
        <v>406</v>
      </c>
      <c r="U36" s="14" t="s">
        <v>407</v>
      </c>
      <c r="V36" s="7"/>
      <c r="W36" s="7"/>
      <c r="X36" s="15" t="s">
        <v>408</v>
      </c>
      <c r="Y36" s="14" t="s">
        <v>409</v>
      </c>
      <c r="Z36" s="14"/>
    </row>
    <row r="37" customFormat="false" ht="45" hidden="false" customHeight="true" outlineLevel="0" collapsed="false">
      <c r="A37" s="14" t="n">
        <v>36</v>
      </c>
      <c r="B37" s="14" t="s">
        <v>64</v>
      </c>
      <c r="C37" s="14" t="s">
        <v>65</v>
      </c>
      <c r="D37" s="14" t="s">
        <v>94</v>
      </c>
      <c r="E37" s="6" t="s">
        <v>95</v>
      </c>
      <c r="F37" s="14" t="s">
        <v>359</v>
      </c>
      <c r="G37" s="14" t="s">
        <v>410</v>
      </c>
      <c r="H37" s="14" t="s">
        <v>411</v>
      </c>
      <c r="I37" s="14" t="n">
        <v>2016</v>
      </c>
      <c r="J37" s="5" t="s">
        <v>70</v>
      </c>
      <c r="K37" s="6" t="s">
        <v>71</v>
      </c>
      <c r="L37" s="14" t="s">
        <v>412</v>
      </c>
      <c r="M37" s="7"/>
      <c r="N37" s="14" t="s">
        <v>413</v>
      </c>
      <c r="O37" s="14" t="s">
        <v>74</v>
      </c>
      <c r="P37" s="14" t="s">
        <v>74</v>
      </c>
      <c r="Q37" s="14" t="s">
        <v>74</v>
      </c>
      <c r="R37" s="14" t="s">
        <v>74</v>
      </c>
      <c r="S37" s="14" t="s">
        <v>414</v>
      </c>
      <c r="T37" s="14" t="s">
        <v>415</v>
      </c>
      <c r="U37" s="14" t="s">
        <v>416</v>
      </c>
      <c r="V37" s="7"/>
      <c r="W37" s="7"/>
      <c r="X37" s="15" t="s">
        <v>417</v>
      </c>
      <c r="Y37" s="14" t="s">
        <v>418</v>
      </c>
      <c r="Z37" s="14"/>
    </row>
    <row r="38" customFormat="false" ht="45" hidden="false" customHeight="true" outlineLevel="0" collapsed="false">
      <c r="A38" s="14" t="n">
        <v>37</v>
      </c>
      <c r="B38" s="14" t="s">
        <v>64</v>
      </c>
      <c r="C38" s="14" t="s">
        <v>65</v>
      </c>
      <c r="D38" s="14" t="s">
        <v>120</v>
      </c>
      <c r="E38" s="6" t="s">
        <v>121</v>
      </c>
      <c r="F38" s="14" t="s">
        <v>359</v>
      </c>
      <c r="G38" s="14" t="s">
        <v>419</v>
      </c>
      <c r="H38" s="5" t="s">
        <v>420</v>
      </c>
      <c r="I38" s="14" t="n">
        <v>2023</v>
      </c>
      <c r="J38" s="5" t="s">
        <v>70</v>
      </c>
      <c r="K38" s="6" t="s">
        <v>71</v>
      </c>
      <c r="L38" s="14" t="s">
        <v>421</v>
      </c>
      <c r="M38" s="7"/>
      <c r="N38" s="14" t="s">
        <v>422</v>
      </c>
      <c r="O38" s="14" t="s">
        <v>74</v>
      </c>
      <c r="P38" s="14" t="s">
        <v>74</v>
      </c>
      <c r="Q38" s="14" t="s">
        <v>74</v>
      </c>
      <c r="R38" s="14" t="s">
        <v>74</v>
      </c>
      <c r="S38" s="14" t="s">
        <v>423</v>
      </c>
      <c r="T38" s="14" t="s">
        <v>424</v>
      </c>
      <c r="U38" s="14" t="s">
        <v>425</v>
      </c>
      <c r="V38" s="7"/>
      <c r="W38" s="7"/>
      <c r="X38" s="15" t="s">
        <v>426</v>
      </c>
      <c r="Y38" s="14" t="s">
        <v>427</v>
      </c>
      <c r="Z38" s="14"/>
    </row>
    <row r="39" customFormat="false" ht="45" hidden="false" customHeight="true" outlineLevel="0" collapsed="false">
      <c r="A39" s="14" t="n">
        <v>38</v>
      </c>
      <c r="B39" s="14" t="s">
        <v>64</v>
      </c>
      <c r="C39" s="14" t="s">
        <v>65</v>
      </c>
      <c r="D39" s="14" t="s">
        <v>120</v>
      </c>
      <c r="E39" s="6" t="s">
        <v>121</v>
      </c>
      <c r="F39" s="5" t="s">
        <v>428</v>
      </c>
      <c r="G39" s="14" t="s">
        <v>429</v>
      </c>
      <c r="H39" s="14" t="s">
        <v>430</v>
      </c>
      <c r="I39" s="14" t="n">
        <v>2023</v>
      </c>
      <c r="J39" s="5" t="s">
        <v>70</v>
      </c>
      <c r="K39" s="6" t="s">
        <v>71</v>
      </c>
      <c r="L39" s="14" t="s">
        <v>431</v>
      </c>
      <c r="M39" s="7"/>
      <c r="N39" s="14" t="s">
        <v>432</v>
      </c>
      <c r="O39" s="14" t="s">
        <v>74</v>
      </c>
      <c r="P39" s="14" t="s">
        <v>74</v>
      </c>
      <c r="Q39" s="14" t="s">
        <v>74</v>
      </c>
      <c r="R39" s="14" t="s">
        <v>74</v>
      </c>
      <c r="S39" s="14" t="s">
        <v>433</v>
      </c>
      <c r="T39" s="14" t="s">
        <v>434</v>
      </c>
      <c r="U39" s="14" t="s">
        <v>435</v>
      </c>
      <c r="V39" s="7"/>
      <c r="W39" s="7"/>
      <c r="X39" s="15" t="s">
        <v>436</v>
      </c>
      <c r="Y39" s="14" t="s">
        <v>437</v>
      </c>
      <c r="Z39" s="14"/>
    </row>
    <row r="40" customFormat="false" ht="45" hidden="false" customHeight="true" outlineLevel="0" collapsed="false">
      <c r="A40" s="14" t="n">
        <v>39</v>
      </c>
      <c r="B40" s="14" t="s">
        <v>64</v>
      </c>
      <c r="C40" s="14" t="s">
        <v>65</v>
      </c>
      <c r="D40" s="14" t="s">
        <v>120</v>
      </c>
      <c r="E40" s="6" t="s">
        <v>121</v>
      </c>
      <c r="F40" s="5" t="s">
        <v>428</v>
      </c>
      <c r="G40" s="14" t="s">
        <v>438</v>
      </c>
      <c r="H40" s="14" t="s">
        <v>430</v>
      </c>
      <c r="I40" s="14" t="n">
        <v>2022</v>
      </c>
      <c r="J40" s="5" t="s">
        <v>70</v>
      </c>
      <c r="K40" s="6" t="s">
        <v>71</v>
      </c>
      <c r="L40" s="14" t="s">
        <v>431</v>
      </c>
      <c r="M40" s="7"/>
      <c r="N40" s="14" t="s">
        <v>432</v>
      </c>
      <c r="O40" s="14" t="s">
        <v>74</v>
      </c>
      <c r="P40" s="14" t="s">
        <v>74</v>
      </c>
      <c r="Q40" s="14" t="s">
        <v>74</v>
      </c>
      <c r="R40" s="14" t="s">
        <v>74</v>
      </c>
      <c r="S40" s="14" t="s">
        <v>439</v>
      </c>
      <c r="T40" s="14" t="s">
        <v>434</v>
      </c>
      <c r="U40" s="14" t="s">
        <v>435</v>
      </c>
      <c r="V40" s="7"/>
      <c r="W40" s="7"/>
      <c r="X40" s="15" t="s">
        <v>440</v>
      </c>
      <c r="Y40" s="14" t="s">
        <v>437</v>
      </c>
      <c r="Z40" s="14"/>
    </row>
    <row r="41" customFormat="false" ht="45" hidden="false" customHeight="true" outlineLevel="0" collapsed="false">
      <c r="A41" s="14" t="n">
        <v>40</v>
      </c>
      <c r="B41" s="14" t="s">
        <v>64</v>
      </c>
      <c r="C41" s="14" t="s">
        <v>65</v>
      </c>
      <c r="D41" s="14" t="s">
        <v>94</v>
      </c>
      <c r="E41" s="6" t="s">
        <v>95</v>
      </c>
      <c r="F41" s="14" t="s">
        <v>80</v>
      </c>
      <c r="G41" s="14" t="s">
        <v>441</v>
      </c>
      <c r="H41" s="5" t="s">
        <v>442</v>
      </c>
      <c r="I41" s="14" t="n">
        <v>2023</v>
      </c>
      <c r="J41" s="5" t="s">
        <v>70</v>
      </c>
      <c r="K41" s="6" t="s">
        <v>71</v>
      </c>
      <c r="L41" s="14" t="s">
        <v>443</v>
      </c>
      <c r="M41" s="7"/>
      <c r="N41" s="14" t="s">
        <v>444</v>
      </c>
      <c r="O41" s="14" t="s">
        <v>445</v>
      </c>
      <c r="P41" s="14" t="s">
        <v>446</v>
      </c>
      <c r="Q41" s="14" t="s">
        <v>447</v>
      </c>
      <c r="R41" s="14" t="s">
        <v>88</v>
      </c>
      <c r="S41" s="14" t="s">
        <v>448</v>
      </c>
      <c r="T41" s="14" t="s">
        <v>449</v>
      </c>
      <c r="U41" s="14" t="s">
        <v>450</v>
      </c>
      <c r="V41" s="7"/>
      <c r="W41" s="7"/>
      <c r="X41" s="15" t="s">
        <v>451</v>
      </c>
      <c r="Y41" s="14" t="s">
        <v>452</v>
      </c>
      <c r="Z41" s="14"/>
    </row>
    <row r="42" customFormat="false" ht="45" hidden="false" customHeight="true" outlineLevel="0" collapsed="false">
      <c r="A42" s="14" t="n">
        <v>41</v>
      </c>
      <c r="B42" s="14" t="s">
        <v>64</v>
      </c>
      <c r="C42" s="14" t="s">
        <v>65</v>
      </c>
      <c r="D42" s="14" t="s">
        <v>94</v>
      </c>
      <c r="E42" s="6" t="s">
        <v>95</v>
      </c>
      <c r="F42" s="5" t="s">
        <v>428</v>
      </c>
      <c r="G42" s="14" t="s">
        <v>453</v>
      </c>
      <c r="H42" s="14" t="s">
        <v>454</v>
      </c>
      <c r="I42" s="14" t="n">
        <v>2022</v>
      </c>
      <c r="J42" s="5" t="s">
        <v>70</v>
      </c>
      <c r="K42" s="6" t="s">
        <v>71</v>
      </c>
      <c r="L42" s="14" t="s">
        <v>455</v>
      </c>
      <c r="M42" s="7"/>
      <c r="N42" s="14" t="s">
        <v>456</v>
      </c>
      <c r="O42" s="14" t="s">
        <v>74</v>
      </c>
      <c r="P42" s="14" t="s">
        <v>74</v>
      </c>
      <c r="Q42" s="14" t="s">
        <v>74</v>
      </c>
      <c r="R42" s="14" t="s">
        <v>74</v>
      </c>
      <c r="S42" s="14" t="s">
        <v>457</v>
      </c>
      <c r="T42" s="14" t="s">
        <v>434</v>
      </c>
      <c r="U42" s="14" t="s">
        <v>458</v>
      </c>
      <c r="V42" s="7"/>
      <c r="W42" s="7"/>
      <c r="X42" s="15" t="s">
        <v>459</v>
      </c>
      <c r="Y42" s="14" t="s">
        <v>460</v>
      </c>
      <c r="Z42" s="14"/>
    </row>
    <row r="43" customFormat="false" ht="45" hidden="false" customHeight="true" outlineLevel="0" collapsed="false">
      <c r="A43" s="14" t="n">
        <v>42</v>
      </c>
      <c r="B43" s="14" t="s">
        <v>64</v>
      </c>
      <c r="C43" s="14" t="s">
        <v>65</v>
      </c>
      <c r="D43" s="14" t="s">
        <v>94</v>
      </c>
      <c r="E43" s="6" t="s">
        <v>95</v>
      </c>
      <c r="F43" s="14" t="s">
        <v>461</v>
      </c>
      <c r="G43" s="14" t="s">
        <v>462</v>
      </c>
      <c r="H43" s="5" t="s">
        <v>463</v>
      </c>
      <c r="I43" s="14" t="n">
        <v>2021</v>
      </c>
      <c r="J43" s="5" t="s">
        <v>70</v>
      </c>
      <c r="K43" s="6" t="s">
        <v>71</v>
      </c>
      <c r="L43" s="14" t="s">
        <v>464</v>
      </c>
      <c r="M43" s="7"/>
      <c r="N43" s="14" t="s">
        <v>465</v>
      </c>
      <c r="O43" s="14" t="s">
        <v>74</v>
      </c>
      <c r="P43" s="14" t="s">
        <v>74</v>
      </c>
      <c r="Q43" s="14" t="s">
        <v>74</v>
      </c>
      <c r="R43" s="14" t="s">
        <v>74</v>
      </c>
      <c r="S43" s="14" t="s">
        <v>466</v>
      </c>
      <c r="T43" s="14" t="s">
        <v>467</v>
      </c>
      <c r="U43" s="14" t="s">
        <v>468</v>
      </c>
      <c r="V43" s="7"/>
      <c r="W43" s="7"/>
      <c r="X43" s="15" t="s">
        <v>469</v>
      </c>
      <c r="Y43" s="14" t="s">
        <v>375</v>
      </c>
      <c r="Z43" s="14"/>
    </row>
    <row r="44" customFormat="false" ht="45" hidden="false" customHeight="true" outlineLevel="0" collapsed="false">
      <c r="A44" s="14" t="n">
        <v>43</v>
      </c>
      <c r="B44" s="14" t="s">
        <v>64</v>
      </c>
      <c r="C44" s="14" t="s">
        <v>470</v>
      </c>
      <c r="D44" s="14" t="s">
        <v>471</v>
      </c>
      <c r="E44" s="14" t="s">
        <v>471</v>
      </c>
      <c r="F44" s="14" t="s">
        <v>461</v>
      </c>
      <c r="G44" s="14" t="s">
        <v>472</v>
      </c>
      <c r="H44" s="14" t="s">
        <v>473</v>
      </c>
      <c r="I44" s="14" t="n">
        <v>2009</v>
      </c>
      <c r="J44" s="5" t="s">
        <v>70</v>
      </c>
      <c r="K44" s="6" t="s">
        <v>71</v>
      </c>
      <c r="L44" s="14" t="s">
        <v>474</v>
      </c>
      <c r="M44" s="7"/>
      <c r="N44" s="14" t="s">
        <v>475</v>
      </c>
      <c r="O44" s="14" t="s">
        <v>74</v>
      </c>
      <c r="P44" s="14" t="s">
        <v>74</v>
      </c>
      <c r="Q44" s="14" t="s">
        <v>74</v>
      </c>
      <c r="R44" s="14" t="s">
        <v>74</v>
      </c>
      <c r="S44" s="14" t="s">
        <v>476</v>
      </c>
      <c r="T44" s="14" t="s">
        <v>477</v>
      </c>
      <c r="U44" s="14" t="s">
        <v>478</v>
      </c>
      <c r="V44" s="7"/>
      <c r="W44" s="7"/>
      <c r="X44" s="15" t="s">
        <v>479</v>
      </c>
      <c r="Y44" s="14" t="s">
        <v>480</v>
      </c>
      <c r="Z44" s="14"/>
    </row>
    <row r="45" customFormat="false" ht="45" hidden="false" customHeight="true" outlineLevel="0" collapsed="false">
      <c r="A45" s="14" t="n">
        <v>44</v>
      </c>
      <c r="B45" s="14" t="s">
        <v>64</v>
      </c>
      <c r="C45" s="14" t="s">
        <v>65</v>
      </c>
      <c r="D45" s="14" t="s">
        <v>94</v>
      </c>
      <c r="E45" s="6" t="s">
        <v>95</v>
      </c>
      <c r="F45" s="14" t="s">
        <v>461</v>
      </c>
      <c r="G45" s="14" t="s">
        <v>481</v>
      </c>
      <c r="H45" s="5" t="s">
        <v>482</v>
      </c>
      <c r="I45" s="14" t="n">
        <v>2022</v>
      </c>
      <c r="J45" s="5" t="s">
        <v>70</v>
      </c>
      <c r="K45" s="6" t="s">
        <v>71</v>
      </c>
      <c r="L45" s="14" t="s">
        <v>483</v>
      </c>
      <c r="M45" s="7"/>
      <c r="N45" s="14" t="s">
        <v>484</v>
      </c>
      <c r="O45" s="14" t="s">
        <v>74</v>
      </c>
      <c r="P45" s="14" t="s">
        <v>74</v>
      </c>
      <c r="Q45" s="14" t="s">
        <v>74</v>
      </c>
      <c r="R45" s="14" t="s">
        <v>74</v>
      </c>
      <c r="S45" s="14" t="s">
        <v>485</v>
      </c>
      <c r="T45" s="14" t="s">
        <v>486</v>
      </c>
      <c r="U45" s="14" t="s">
        <v>487</v>
      </c>
      <c r="V45" s="7"/>
      <c r="W45" s="7"/>
      <c r="X45" s="15" t="s">
        <v>488</v>
      </c>
      <c r="Y45" s="14" t="s">
        <v>427</v>
      </c>
      <c r="Z45" s="14"/>
    </row>
    <row r="46" customFormat="false" ht="45" hidden="false" customHeight="true" outlineLevel="0" collapsed="false">
      <c r="A46" s="14" t="n">
        <v>45</v>
      </c>
      <c r="B46" s="14" t="s">
        <v>64</v>
      </c>
      <c r="C46" s="14" t="s">
        <v>489</v>
      </c>
      <c r="D46" s="14"/>
      <c r="E46" s="6" t="s">
        <v>490</v>
      </c>
      <c r="F46" s="5" t="s">
        <v>491</v>
      </c>
      <c r="G46" s="14" t="s">
        <v>492</v>
      </c>
      <c r="H46" s="5" t="s">
        <v>493</v>
      </c>
      <c r="I46" s="14" t="n">
        <v>2022</v>
      </c>
      <c r="J46" s="5" t="s">
        <v>70</v>
      </c>
      <c r="K46" s="6" t="s">
        <v>71</v>
      </c>
      <c r="L46" s="14" t="s">
        <v>494</v>
      </c>
      <c r="M46" s="7"/>
      <c r="N46" s="14" t="s">
        <v>495</v>
      </c>
      <c r="O46" s="14" t="s">
        <v>74</v>
      </c>
      <c r="P46" s="14" t="s">
        <v>74</v>
      </c>
      <c r="Q46" s="14" t="s">
        <v>74</v>
      </c>
      <c r="R46" s="14" t="s">
        <v>74</v>
      </c>
      <c r="S46" s="14" t="s">
        <v>496</v>
      </c>
      <c r="T46" s="14" t="s">
        <v>497</v>
      </c>
      <c r="U46" s="14" t="s">
        <v>498</v>
      </c>
      <c r="V46" s="7"/>
      <c r="W46" s="7"/>
      <c r="X46" s="15" t="s">
        <v>499</v>
      </c>
      <c r="Y46" s="14" t="s">
        <v>260</v>
      </c>
      <c r="Z46" s="14"/>
    </row>
    <row r="47" customFormat="false" ht="45" hidden="false" customHeight="true" outlineLevel="0" collapsed="false">
      <c r="A47" s="14" t="n">
        <v>46</v>
      </c>
      <c r="B47" s="14" t="s">
        <v>64</v>
      </c>
      <c r="C47" s="14" t="s">
        <v>489</v>
      </c>
      <c r="D47" s="14"/>
      <c r="E47" s="6" t="s">
        <v>490</v>
      </c>
      <c r="F47" s="5" t="s">
        <v>491</v>
      </c>
      <c r="G47" s="14" t="s">
        <v>500</v>
      </c>
      <c r="H47" s="5" t="s">
        <v>493</v>
      </c>
      <c r="I47" s="14" t="n">
        <v>2022</v>
      </c>
      <c r="J47" s="5" t="s">
        <v>70</v>
      </c>
      <c r="K47" s="6" t="s">
        <v>71</v>
      </c>
      <c r="L47" s="14" t="s">
        <v>501</v>
      </c>
      <c r="M47" s="7"/>
      <c r="N47" s="14" t="s">
        <v>502</v>
      </c>
      <c r="O47" s="14" t="s">
        <v>74</v>
      </c>
      <c r="P47" s="14" t="s">
        <v>74</v>
      </c>
      <c r="Q47" s="14" t="s">
        <v>74</v>
      </c>
      <c r="R47" s="14" t="s">
        <v>74</v>
      </c>
      <c r="S47" s="14" t="s">
        <v>503</v>
      </c>
      <c r="T47" s="14" t="s">
        <v>504</v>
      </c>
      <c r="U47" s="14" t="s">
        <v>505</v>
      </c>
      <c r="V47" s="7"/>
      <c r="W47" s="7"/>
      <c r="X47" s="15" t="s">
        <v>506</v>
      </c>
      <c r="Y47" s="14" t="s">
        <v>400</v>
      </c>
      <c r="Z47" s="14"/>
    </row>
    <row r="48" customFormat="false" ht="45" hidden="false" customHeight="true" outlineLevel="0" collapsed="false">
      <c r="A48" s="14" t="n">
        <v>47</v>
      </c>
      <c r="B48" s="14" t="s">
        <v>64</v>
      </c>
      <c r="C48" s="14" t="s">
        <v>65</v>
      </c>
      <c r="D48" s="14" t="s">
        <v>160</v>
      </c>
      <c r="E48" s="6" t="s">
        <v>161</v>
      </c>
      <c r="F48" s="5" t="s">
        <v>491</v>
      </c>
      <c r="G48" s="14" t="s">
        <v>507</v>
      </c>
      <c r="H48" s="14" t="s">
        <v>508</v>
      </c>
      <c r="I48" s="14" t="n">
        <v>2022</v>
      </c>
      <c r="J48" s="5" t="s">
        <v>70</v>
      </c>
      <c r="K48" s="6" t="s">
        <v>71</v>
      </c>
      <c r="L48" s="14" t="s">
        <v>509</v>
      </c>
      <c r="M48" s="7"/>
      <c r="N48" s="14" t="s">
        <v>510</v>
      </c>
      <c r="O48" s="14" t="s">
        <v>74</v>
      </c>
      <c r="P48" s="14" t="s">
        <v>74</v>
      </c>
      <c r="Q48" s="14" t="s">
        <v>74</v>
      </c>
      <c r="R48" s="14" t="s">
        <v>74</v>
      </c>
      <c r="S48" s="14" t="s">
        <v>511</v>
      </c>
      <c r="T48" s="14" t="s">
        <v>512</v>
      </c>
      <c r="U48" s="14" t="s">
        <v>513</v>
      </c>
      <c r="V48" s="7"/>
      <c r="W48" s="7"/>
      <c r="X48" s="15" t="s">
        <v>514</v>
      </c>
      <c r="Y48" s="14" t="s">
        <v>400</v>
      </c>
      <c r="Z48" s="14"/>
    </row>
    <row r="49" customFormat="false" ht="45" hidden="false" customHeight="true" outlineLevel="0" collapsed="false">
      <c r="A49" s="14" t="n">
        <v>48</v>
      </c>
      <c r="B49" s="14" t="s">
        <v>64</v>
      </c>
      <c r="C49" s="14" t="s">
        <v>65</v>
      </c>
      <c r="D49" s="14" t="s">
        <v>234</v>
      </c>
      <c r="E49" s="6" t="s">
        <v>95</v>
      </c>
      <c r="F49" s="5" t="s">
        <v>491</v>
      </c>
      <c r="G49" s="14" t="s">
        <v>515</v>
      </c>
      <c r="H49" s="14" t="s">
        <v>516</v>
      </c>
      <c r="I49" s="14" t="n">
        <v>2019</v>
      </c>
      <c r="J49" s="5" t="s">
        <v>70</v>
      </c>
      <c r="K49" s="6" t="s">
        <v>71</v>
      </c>
      <c r="L49" s="14" t="s">
        <v>517</v>
      </c>
      <c r="M49" s="7"/>
      <c r="N49" s="14" t="s">
        <v>518</v>
      </c>
      <c r="O49" s="14" t="s">
        <v>74</v>
      </c>
      <c r="P49" s="14" t="s">
        <v>74</v>
      </c>
      <c r="Q49" s="14" t="s">
        <v>74</v>
      </c>
      <c r="R49" s="14" t="s">
        <v>74</v>
      </c>
      <c r="S49" s="14" t="s">
        <v>519</v>
      </c>
      <c r="T49" s="14" t="s">
        <v>520</v>
      </c>
      <c r="U49" s="14" t="s">
        <v>521</v>
      </c>
      <c r="V49" s="7"/>
      <c r="W49" s="7"/>
      <c r="X49" s="15" t="s">
        <v>522</v>
      </c>
      <c r="Y49" s="14" t="s">
        <v>243</v>
      </c>
      <c r="Z49" s="14"/>
    </row>
    <row r="50" customFormat="false" ht="45" hidden="false" customHeight="true" outlineLevel="0" collapsed="false">
      <c r="A50" s="14" t="n">
        <v>49</v>
      </c>
      <c r="B50" s="14" t="s">
        <v>64</v>
      </c>
      <c r="C50" s="14" t="s">
        <v>489</v>
      </c>
      <c r="D50" s="14"/>
      <c r="E50" s="6" t="s">
        <v>523</v>
      </c>
      <c r="F50" s="5" t="s">
        <v>524</v>
      </c>
      <c r="G50" s="14" t="s">
        <v>525</v>
      </c>
      <c r="H50" s="5" t="s">
        <v>526</v>
      </c>
      <c r="I50" s="14" t="n">
        <v>2018</v>
      </c>
      <c r="J50" s="5" t="s">
        <v>70</v>
      </c>
      <c r="K50" s="6" t="s">
        <v>71</v>
      </c>
      <c r="L50" s="14" t="s">
        <v>527</v>
      </c>
      <c r="M50" s="7"/>
      <c r="N50" s="14" t="s">
        <v>528</v>
      </c>
      <c r="O50" s="14" t="s">
        <v>74</v>
      </c>
      <c r="P50" s="14" t="s">
        <v>74</v>
      </c>
      <c r="Q50" s="14" t="s">
        <v>74</v>
      </c>
      <c r="R50" s="14" t="s">
        <v>74</v>
      </c>
      <c r="S50" s="14" t="s">
        <v>529</v>
      </c>
      <c r="T50" s="14" t="s">
        <v>530</v>
      </c>
      <c r="U50" s="14" t="s">
        <v>531</v>
      </c>
      <c r="V50" s="7"/>
      <c r="W50" s="7"/>
      <c r="X50" s="15" t="s">
        <v>532</v>
      </c>
      <c r="Y50" s="14" t="s">
        <v>533</v>
      </c>
      <c r="Z50" s="14"/>
    </row>
    <row r="51" customFormat="false" ht="45" hidden="false" customHeight="true" outlineLevel="0" collapsed="false">
      <c r="A51" s="14" t="n">
        <v>50</v>
      </c>
      <c r="B51" s="14" t="s">
        <v>64</v>
      </c>
      <c r="C51" s="14" t="s">
        <v>470</v>
      </c>
      <c r="D51" s="14" t="s">
        <v>534</v>
      </c>
      <c r="E51" s="14" t="s">
        <v>534</v>
      </c>
      <c r="F51" s="5" t="s">
        <v>491</v>
      </c>
      <c r="G51" s="14" t="s">
        <v>535</v>
      </c>
      <c r="H51" s="14" t="s">
        <v>536</v>
      </c>
      <c r="I51" s="14" t="n">
        <v>2021</v>
      </c>
      <c r="J51" s="5" t="s">
        <v>70</v>
      </c>
      <c r="K51" s="6" t="s">
        <v>71</v>
      </c>
      <c r="L51" s="14" t="s">
        <v>537</v>
      </c>
      <c r="M51" s="7"/>
      <c r="N51" s="14" t="s">
        <v>538</v>
      </c>
      <c r="O51" s="14" t="s">
        <v>74</v>
      </c>
      <c r="P51" s="14" t="s">
        <v>74</v>
      </c>
      <c r="Q51" s="14" t="s">
        <v>74</v>
      </c>
      <c r="R51" s="14" t="s">
        <v>74</v>
      </c>
      <c r="S51" s="14" t="s">
        <v>539</v>
      </c>
      <c r="T51" s="14" t="s">
        <v>540</v>
      </c>
      <c r="U51" s="14"/>
      <c r="V51" s="7"/>
      <c r="W51" s="7"/>
      <c r="X51" s="15" t="s">
        <v>541</v>
      </c>
      <c r="Y51" s="14" t="s">
        <v>542</v>
      </c>
      <c r="Z51" s="14" t="s">
        <v>107</v>
      </c>
    </row>
    <row r="52" customFormat="false" ht="45" hidden="false" customHeight="true" outlineLevel="0" collapsed="false">
      <c r="A52" s="14" t="n">
        <v>51</v>
      </c>
      <c r="B52" s="14" t="s">
        <v>64</v>
      </c>
      <c r="C52" s="14" t="s">
        <v>489</v>
      </c>
      <c r="D52" s="14"/>
      <c r="E52" s="6" t="s">
        <v>523</v>
      </c>
      <c r="F52" s="5" t="s">
        <v>524</v>
      </c>
      <c r="G52" s="14" t="s">
        <v>543</v>
      </c>
      <c r="H52" s="14" t="s">
        <v>544</v>
      </c>
      <c r="I52" s="14" t="n">
        <v>2016</v>
      </c>
      <c r="J52" s="5" t="s">
        <v>70</v>
      </c>
      <c r="K52" s="6" t="s">
        <v>71</v>
      </c>
      <c r="L52" s="14" t="s">
        <v>545</v>
      </c>
      <c r="M52" s="7"/>
      <c r="N52" s="14" t="s">
        <v>546</v>
      </c>
      <c r="O52" s="14" t="s">
        <v>74</v>
      </c>
      <c r="P52" s="14" t="s">
        <v>74</v>
      </c>
      <c r="Q52" s="14" t="s">
        <v>74</v>
      </c>
      <c r="R52" s="14" t="s">
        <v>74</v>
      </c>
      <c r="S52" s="14" t="s">
        <v>547</v>
      </c>
      <c r="T52" s="14" t="s">
        <v>548</v>
      </c>
      <c r="U52" s="14" t="s">
        <v>549</v>
      </c>
      <c r="V52" s="7"/>
      <c r="W52" s="7"/>
      <c r="X52" s="15" t="s">
        <v>550</v>
      </c>
      <c r="Y52" s="14" t="s">
        <v>542</v>
      </c>
      <c r="Z52" s="14"/>
    </row>
    <row r="53" customFormat="false" ht="45" hidden="false" customHeight="true" outlineLevel="0" collapsed="false">
      <c r="A53" s="14" t="n">
        <v>52</v>
      </c>
      <c r="B53" s="14" t="s">
        <v>64</v>
      </c>
      <c r="C53" s="14" t="s">
        <v>65</v>
      </c>
      <c r="D53" s="14" t="s">
        <v>551</v>
      </c>
      <c r="E53" s="6" t="s">
        <v>552</v>
      </c>
      <c r="F53" s="14" t="s">
        <v>359</v>
      </c>
      <c r="G53" s="14" t="s">
        <v>553</v>
      </c>
      <c r="H53" s="14" t="s">
        <v>554</v>
      </c>
      <c r="I53" s="14" t="n">
        <v>2019</v>
      </c>
      <c r="J53" s="5" t="s">
        <v>70</v>
      </c>
      <c r="K53" s="6" t="s">
        <v>71</v>
      </c>
      <c r="L53" s="14" t="s">
        <v>555</v>
      </c>
      <c r="M53" s="7"/>
      <c r="N53" s="14" t="s">
        <v>556</v>
      </c>
      <c r="O53" s="5" t="s">
        <v>74</v>
      </c>
      <c r="P53" s="16" t="s">
        <v>74</v>
      </c>
      <c r="Q53" s="5" t="s">
        <v>74</v>
      </c>
      <c r="R53" s="5" t="s">
        <v>74</v>
      </c>
      <c r="S53" s="14" t="s">
        <v>557</v>
      </c>
      <c r="T53" s="14" t="s">
        <v>558</v>
      </c>
      <c r="U53" s="14" t="s">
        <v>559</v>
      </c>
      <c r="V53" s="7"/>
      <c r="W53" s="7"/>
      <c r="X53" s="15" t="s">
        <v>560</v>
      </c>
      <c r="Y53" s="14" t="s">
        <v>561</v>
      </c>
      <c r="Z53" s="14"/>
    </row>
    <row r="54" customFormat="false" ht="45" hidden="false" customHeight="true" outlineLevel="0" collapsed="false">
      <c r="A54" s="14" t="n">
        <v>53</v>
      </c>
      <c r="B54" s="14" t="s">
        <v>64</v>
      </c>
      <c r="C54" s="14" t="s">
        <v>65</v>
      </c>
      <c r="D54" s="14" t="s">
        <v>94</v>
      </c>
      <c r="E54" s="6" t="s">
        <v>95</v>
      </c>
      <c r="F54" s="14" t="s">
        <v>297</v>
      </c>
      <c r="G54" s="14" t="s">
        <v>562</v>
      </c>
      <c r="H54" s="5" t="s">
        <v>563</v>
      </c>
      <c r="I54" s="14" t="n">
        <v>2019</v>
      </c>
      <c r="J54" s="5" t="s">
        <v>70</v>
      </c>
      <c r="K54" s="6" t="s">
        <v>71</v>
      </c>
      <c r="L54" s="14" t="s">
        <v>564</v>
      </c>
      <c r="M54" s="7"/>
      <c r="N54" s="14" t="s">
        <v>565</v>
      </c>
      <c r="O54" s="5" t="s">
        <v>74</v>
      </c>
      <c r="P54" s="16" t="s">
        <v>74</v>
      </c>
      <c r="Q54" s="5" t="s">
        <v>74</v>
      </c>
      <c r="R54" s="5" t="s">
        <v>74</v>
      </c>
      <c r="S54" s="14" t="s">
        <v>566</v>
      </c>
      <c r="T54" s="14" t="s">
        <v>567</v>
      </c>
      <c r="U54" s="14" t="s">
        <v>568</v>
      </c>
      <c r="V54" s="7"/>
      <c r="W54" s="7"/>
      <c r="X54" s="15" t="s">
        <v>569</v>
      </c>
      <c r="Y54" s="14" t="s">
        <v>570</v>
      </c>
      <c r="Z54" s="14"/>
    </row>
    <row r="55" customFormat="false" ht="45" hidden="false" customHeight="true" outlineLevel="0" collapsed="false">
      <c r="A55" s="14" t="n">
        <v>54</v>
      </c>
      <c r="B55" s="14" t="s">
        <v>64</v>
      </c>
      <c r="C55" s="14" t="s">
        <v>470</v>
      </c>
      <c r="D55" s="14" t="s">
        <v>571</v>
      </c>
      <c r="E55" s="14" t="s">
        <v>571</v>
      </c>
      <c r="F55" s="14" t="s">
        <v>67</v>
      </c>
      <c r="G55" s="5" t="s">
        <v>572</v>
      </c>
      <c r="H55" s="5" t="s">
        <v>573</v>
      </c>
      <c r="I55" s="14" t="n">
        <v>2020</v>
      </c>
      <c r="J55" s="5" t="s">
        <v>70</v>
      </c>
      <c r="K55" s="6" t="s">
        <v>71</v>
      </c>
      <c r="L55" s="14" t="s">
        <v>574</v>
      </c>
      <c r="M55" s="7"/>
      <c r="N55" s="14" t="s">
        <v>575</v>
      </c>
      <c r="O55" s="14" t="s">
        <v>74</v>
      </c>
      <c r="P55" s="14" t="s">
        <v>74</v>
      </c>
      <c r="Q55" s="14" t="s">
        <v>74</v>
      </c>
      <c r="R55" s="14" t="s">
        <v>74</v>
      </c>
      <c r="S55" s="14" t="s">
        <v>576</v>
      </c>
      <c r="T55" s="14" t="s">
        <v>577</v>
      </c>
      <c r="U55" s="14" t="s">
        <v>578</v>
      </c>
      <c r="V55" s="7"/>
      <c r="W55" s="7"/>
      <c r="X55" s="15" t="s">
        <v>579</v>
      </c>
      <c r="Y55" s="14" t="s">
        <v>580</v>
      </c>
      <c r="Z55" s="14"/>
    </row>
    <row r="56" customFormat="false" ht="45" hidden="false" customHeight="true" outlineLevel="0" collapsed="false">
      <c r="A56" s="14" t="n">
        <v>55</v>
      </c>
      <c r="B56" s="14" t="s">
        <v>64</v>
      </c>
      <c r="C56" s="14" t="s">
        <v>470</v>
      </c>
      <c r="D56" s="14" t="s">
        <v>534</v>
      </c>
      <c r="E56" s="14" t="s">
        <v>534</v>
      </c>
      <c r="F56" s="14" t="s">
        <v>581</v>
      </c>
      <c r="G56" s="14" t="s">
        <v>582</v>
      </c>
      <c r="H56" s="5" t="s">
        <v>583</v>
      </c>
      <c r="I56" s="14" t="n">
        <v>2018</v>
      </c>
      <c r="J56" s="5" t="s">
        <v>70</v>
      </c>
      <c r="K56" s="6" t="s">
        <v>71</v>
      </c>
      <c r="L56" s="14" t="s">
        <v>584</v>
      </c>
      <c r="M56" s="7"/>
      <c r="N56" s="14" t="s">
        <v>585</v>
      </c>
      <c r="O56" s="14" t="s">
        <v>74</v>
      </c>
      <c r="P56" s="14" t="s">
        <v>74</v>
      </c>
      <c r="Q56" s="14" t="s">
        <v>74</v>
      </c>
      <c r="R56" s="14" t="s">
        <v>74</v>
      </c>
      <c r="S56" s="14" t="s">
        <v>586</v>
      </c>
      <c r="T56" s="14" t="s">
        <v>587</v>
      </c>
      <c r="U56" s="14" t="s">
        <v>588</v>
      </c>
      <c r="V56" s="7"/>
      <c r="W56" s="7"/>
      <c r="X56" s="15" t="s">
        <v>589</v>
      </c>
      <c r="Y56" s="14" t="s">
        <v>590</v>
      </c>
      <c r="Z56" s="14"/>
    </row>
    <row r="57" customFormat="false" ht="45" hidden="false" customHeight="true" outlineLevel="0" collapsed="false">
      <c r="A57" s="14" t="n">
        <v>56</v>
      </c>
      <c r="B57" s="14" t="s">
        <v>64</v>
      </c>
      <c r="C57" s="14" t="s">
        <v>470</v>
      </c>
      <c r="D57" s="14" t="s">
        <v>591</v>
      </c>
      <c r="E57" s="14" t="s">
        <v>591</v>
      </c>
      <c r="F57" s="14" t="s">
        <v>278</v>
      </c>
      <c r="G57" s="14" t="s">
        <v>592</v>
      </c>
      <c r="H57" s="5" t="s">
        <v>593</v>
      </c>
      <c r="I57" s="14" t="n">
        <v>2017</v>
      </c>
      <c r="J57" s="5" t="s">
        <v>70</v>
      </c>
      <c r="K57" s="6" t="s">
        <v>71</v>
      </c>
      <c r="L57" s="14" t="s">
        <v>594</v>
      </c>
      <c r="M57" s="7"/>
      <c r="N57" s="14" t="s">
        <v>595</v>
      </c>
      <c r="O57" s="14" t="s">
        <v>74</v>
      </c>
      <c r="P57" s="14" t="s">
        <v>74</v>
      </c>
      <c r="Q57" s="14" t="s">
        <v>74</v>
      </c>
      <c r="R57" s="14" t="s">
        <v>74</v>
      </c>
      <c r="S57" s="14" t="s">
        <v>596</v>
      </c>
      <c r="T57" s="14" t="s">
        <v>597</v>
      </c>
      <c r="U57" s="14" t="s">
        <v>598</v>
      </c>
      <c r="V57" s="7"/>
      <c r="W57" s="7"/>
      <c r="X57" s="15" t="s">
        <v>599</v>
      </c>
      <c r="Y57" s="14" t="s">
        <v>600</v>
      </c>
      <c r="Z57" s="14"/>
    </row>
    <row r="58" customFormat="false" ht="45" hidden="false" customHeight="true" outlineLevel="0" collapsed="false">
      <c r="A58" s="14" t="n">
        <v>57</v>
      </c>
      <c r="B58" s="14" t="s">
        <v>64</v>
      </c>
      <c r="C58" s="14" t="s">
        <v>470</v>
      </c>
      <c r="D58" s="14" t="s">
        <v>591</v>
      </c>
      <c r="E58" s="14" t="s">
        <v>591</v>
      </c>
      <c r="F58" s="14" t="s">
        <v>278</v>
      </c>
      <c r="G58" s="5" t="s">
        <v>601</v>
      </c>
      <c r="H58" s="14" t="s">
        <v>402</v>
      </c>
      <c r="I58" s="14" t="n">
        <v>2022</v>
      </c>
      <c r="J58" s="5" t="s">
        <v>70</v>
      </c>
      <c r="K58" s="6" t="s">
        <v>71</v>
      </c>
      <c r="L58" s="14" t="s">
        <v>602</v>
      </c>
      <c r="M58" s="7"/>
      <c r="N58" s="14" t="s">
        <v>603</v>
      </c>
      <c r="O58" s="14" t="s">
        <v>74</v>
      </c>
      <c r="P58" s="14" t="s">
        <v>74</v>
      </c>
      <c r="Q58" s="14" t="s">
        <v>74</v>
      </c>
      <c r="R58" s="14" t="s">
        <v>74</v>
      </c>
      <c r="S58" s="14" t="s">
        <v>604</v>
      </c>
      <c r="T58" s="14" t="s">
        <v>406</v>
      </c>
      <c r="U58" s="14" t="s">
        <v>605</v>
      </c>
      <c r="V58" s="7"/>
      <c r="W58" s="7"/>
      <c r="X58" s="15" t="s">
        <v>606</v>
      </c>
      <c r="Y58" s="14" t="s">
        <v>409</v>
      </c>
      <c r="Z58" s="14"/>
    </row>
    <row r="59" customFormat="false" ht="45" hidden="false" customHeight="true" outlineLevel="0" collapsed="false">
      <c r="A59" s="14" t="n">
        <v>58</v>
      </c>
      <c r="B59" s="14" t="s">
        <v>64</v>
      </c>
      <c r="C59" s="14" t="s">
        <v>470</v>
      </c>
      <c r="D59" s="14" t="s">
        <v>591</v>
      </c>
      <c r="E59" s="14" t="s">
        <v>591</v>
      </c>
      <c r="F59" s="14" t="s">
        <v>278</v>
      </c>
      <c r="G59" s="14" t="s">
        <v>607</v>
      </c>
      <c r="H59" s="14" t="s">
        <v>608</v>
      </c>
      <c r="I59" s="14" t="n">
        <v>2018</v>
      </c>
      <c r="J59" s="5" t="s">
        <v>70</v>
      </c>
      <c r="K59" s="6" t="s">
        <v>71</v>
      </c>
      <c r="L59" s="14" t="s">
        <v>609</v>
      </c>
      <c r="M59" s="7"/>
      <c r="N59" s="14" t="s">
        <v>610</v>
      </c>
      <c r="O59" s="14" t="s">
        <v>74</v>
      </c>
      <c r="P59" s="14" t="s">
        <v>74</v>
      </c>
      <c r="Q59" s="14" t="s">
        <v>74</v>
      </c>
      <c r="R59" s="14" t="s">
        <v>74</v>
      </c>
      <c r="S59" s="14" t="s">
        <v>611</v>
      </c>
      <c r="T59" s="14" t="s">
        <v>612</v>
      </c>
      <c r="U59" s="14" t="s">
        <v>613</v>
      </c>
      <c r="V59" s="7"/>
      <c r="W59" s="7"/>
      <c r="X59" s="15" t="s">
        <v>614</v>
      </c>
      <c r="Y59" s="14" t="s">
        <v>243</v>
      </c>
      <c r="Z59" s="14"/>
    </row>
    <row r="60" customFormat="false" ht="45" hidden="false" customHeight="true" outlineLevel="0" collapsed="false">
      <c r="A60" s="14" t="n">
        <v>59</v>
      </c>
      <c r="B60" s="14" t="s">
        <v>64</v>
      </c>
      <c r="C60" s="14" t="s">
        <v>470</v>
      </c>
      <c r="D60" s="14" t="s">
        <v>591</v>
      </c>
      <c r="E60" s="14" t="s">
        <v>591</v>
      </c>
      <c r="F60" s="14" t="s">
        <v>359</v>
      </c>
      <c r="G60" s="14" t="s">
        <v>615</v>
      </c>
      <c r="H60" s="14" t="s">
        <v>616</v>
      </c>
      <c r="I60" s="14" t="n">
        <v>2021</v>
      </c>
      <c r="J60" s="5" t="s">
        <v>70</v>
      </c>
      <c r="K60" s="6" t="s">
        <v>71</v>
      </c>
      <c r="L60" s="14" t="s">
        <v>617</v>
      </c>
      <c r="M60" s="7"/>
      <c r="N60" s="14" t="s">
        <v>618</v>
      </c>
      <c r="O60" s="14" t="s">
        <v>74</v>
      </c>
      <c r="P60" s="14" t="s">
        <v>74</v>
      </c>
      <c r="Q60" s="14" t="s">
        <v>74</v>
      </c>
      <c r="R60" s="14" t="s">
        <v>74</v>
      </c>
      <c r="S60" s="14" t="s">
        <v>619</v>
      </c>
      <c r="T60" s="14" t="s">
        <v>434</v>
      </c>
      <c r="U60" s="14" t="s">
        <v>620</v>
      </c>
      <c r="V60" s="7"/>
      <c r="W60" s="7"/>
      <c r="X60" s="15" t="s">
        <v>621</v>
      </c>
      <c r="Y60" s="14" t="s">
        <v>622</v>
      </c>
      <c r="Z60" s="14"/>
    </row>
    <row r="61" customFormat="false" ht="45" hidden="false" customHeight="true" outlineLevel="0" collapsed="false">
      <c r="A61" s="14" t="n">
        <v>60</v>
      </c>
      <c r="B61" s="14" t="s">
        <v>64</v>
      </c>
      <c r="C61" s="14" t="s">
        <v>470</v>
      </c>
      <c r="D61" s="14" t="s">
        <v>591</v>
      </c>
      <c r="E61" s="14" t="s">
        <v>591</v>
      </c>
      <c r="F61" s="14" t="s">
        <v>359</v>
      </c>
      <c r="G61" s="14" t="s">
        <v>623</v>
      </c>
      <c r="H61" s="14" t="s">
        <v>624</v>
      </c>
      <c r="I61" s="14" t="n">
        <v>2011</v>
      </c>
      <c r="J61" s="5" t="s">
        <v>70</v>
      </c>
      <c r="K61" s="6" t="s">
        <v>71</v>
      </c>
      <c r="L61" s="14" t="s">
        <v>625</v>
      </c>
      <c r="M61" s="7"/>
      <c r="N61" s="14" t="s">
        <v>626</v>
      </c>
      <c r="O61" s="14" t="s">
        <v>74</v>
      </c>
      <c r="P61" s="14" t="s">
        <v>74</v>
      </c>
      <c r="Q61" s="14" t="s">
        <v>74</v>
      </c>
      <c r="R61" s="14" t="s">
        <v>74</v>
      </c>
      <c r="S61" s="14" t="s">
        <v>627</v>
      </c>
      <c r="T61" s="14" t="s">
        <v>628</v>
      </c>
      <c r="U61" s="14" t="s">
        <v>629</v>
      </c>
      <c r="V61" s="7"/>
      <c r="W61" s="7"/>
      <c r="X61" s="15" t="s">
        <v>630</v>
      </c>
      <c r="Y61" s="14" t="s">
        <v>631</v>
      </c>
      <c r="Z61" s="14"/>
    </row>
    <row r="62" customFormat="false" ht="45" hidden="false" customHeight="true" outlineLevel="0" collapsed="false">
      <c r="A62" s="17" t="n">
        <v>61</v>
      </c>
      <c r="B62" s="18" t="s">
        <v>632</v>
      </c>
      <c r="C62" s="17" t="s">
        <v>470</v>
      </c>
      <c r="D62" s="17" t="s">
        <v>471</v>
      </c>
      <c r="E62" s="17" t="s">
        <v>471</v>
      </c>
      <c r="F62" s="17" t="s">
        <v>461</v>
      </c>
      <c r="G62" s="17" t="s">
        <v>633</v>
      </c>
      <c r="H62" s="17"/>
      <c r="I62" s="17"/>
      <c r="J62" s="19" t="s">
        <v>70</v>
      </c>
      <c r="K62" s="20" t="s">
        <v>71</v>
      </c>
      <c r="L62" s="21" t="s">
        <v>634</v>
      </c>
      <c r="M62" s="22"/>
      <c r="N62" s="21" t="s">
        <v>635</v>
      </c>
      <c r="O62" s="17" t="s">
        <v>74</v>
      </c>
      <c r="P62" s="21" t="s">
        <v>74</v>
      </c>
      <c r="Q62" s="17" t="s">
        <v>74</v>
      </c>
      <c r="R62" s="17" t="s">
        <v>74</v>
      </c>
      <c r="S62" s="21" t="s">
        <v>636</v>
      </c>
      <c r="T62" s="21" t="s">
        <v>637</v>
      </c>
      <c r="U62" s="17" t="s">
        <v>638</v>
      </c>
      <c r="V62" s="22"/>
      <c r="W62" s="22"/>
      <c r="X62" s="17" t="s">
        <v>639</v>
      </c>
      <c r="Y62" s="17" t="s">
        <v>243</v>
      </c>
      <c r="Z62" s="17" t="s">
        <v>640</v>
      </c>
    </row>
    <row r="63" customFormat="false" ht="45" hidden="false" customHeight="true" outlineLevel="0" collapsed="false">
      <c r="A63" s="14" t="n">
        <v>62</v>
      </c>
      <c r="B63" s="14" t="s">
        <v>64</v>
      </c>
      <c r="C63" s="14" t="s">
        <v>470</v>
      </c>
      <c r="D63" s="14" t="s">
        <v>471</v>
      </c>
      <c r="E63" s="14" t="s">
        <v>471</v>
      </c>
      <c r="F63" s="14" t="s">
        <v>461</v>
      </c>
      <c r="G63" s="14" t="s">
        <v>633</v>
      </c>
      <c r="H63" s="14" t="s">
        <v>641</v>
      </c>
      <c r="I63" s="14" t="n">
        <v>2022</v>
      </c>
      <c r="J63" s="5" t="s">
        <v>70</v>
      </c>
      <c r="K63" s="6" t="s">
        <v>71</v>
      </c>
      <c r="L63" s="14" t="s">
        <v>634</v>
      </c>
      <c r="M63" s="7"/>
      <c r="N63" s="14" t="s">
        <v>635</v>
      </c>
      <c r="O63" s="14" t="s">
        <v>74</v>
      </c>
      <c r="P63" s="14" t="s">
        <v>74</v>
      </c>
      <c r="Q63" s="14" t="s">
        <v>74</v>
      </c>
      <c r="R63" s="14" t="s">
        <v>74</v>
      </c>
      <c r="S63" s="14" t="s">
        <v>636</v>
      </c>
      <c r="T63" s="14" t="s">
        <v>637</v>
      </c>
      <c r="U63" s="14" t="s">
        <v>638</v>
      </c>
      <c r="V63" s="7"/>
      <c r="W63" s="7"/>
      <c r="X63" s="15" t="s">
        <v>639</v>
      </c>
      <c r="Y63" s="14" t="s">
        <v>243</v>
      </c>
      <c r="Z63" s="14"/>
    </row>
    <row r="64" customFormat="false" ht="45" hidden="false" customHeight="true" outlineLevel="0" collapsed="false">
      <c r="A64" s="14" t="n">
        <v>63</v>
      </c>
      <c r="B64" s="14" t="s">
        <v>64</v>
      </c>
      <c r="C64" s="14" t="s">
        <v>470</v>
      </c>
      <c r="D64" s="14" t="s">
        <v>591</v>
      </c>
      <c r="E64" s="14" t="s">
        <v>591</v>
      </c>
      <c r="F64" s="14" t="s">
        <v>461</v>
      </c>
      <c r="G64" s="14" t="s">
        <v>642</v>
      </c>
      <c r="H64" s="14" t="s">
        <v>643</v>
      </c>
      <c r="I64" s="14" t="n">
        <v>2018</v>
      </c>
      <c r="J64" s="5" t="s">
        <v>70</v>
      </c>
      <c r="K64" s="6" t="s">
        <v>71</v>
      </c>
      <c r="L64" s="14" t="s">
        <v>644</v>
      </c>
      <c r="M64" s="7"/>
      <c r="N64" s="14" t="s">
        <v>645</v>
      </c>
      <c r="O64" s="14" t="s">
        <v>74</v>
      </c>
      <c r="P64" s="14" t="s">
        <v>74</v>
      </c>
      <c r="Q64" s="14" t="s">
        <v>74</v>
      </c>
      <c r="R64" s="14" t="s">
        <v>74</v>
      </c>
      <c r="S64" s="14" t="s">
        <v>646</v>
      </c>
      <c r="T64" s="14" t="s">
        <v>647</v>
      </c>
      <c r="U64" s="14" t="s">
        <v>648</v>
      </c>
      <c r="V64" s="7"/>
      <c r="W64" s="7"/>
      <c r="X64" s="15" t="s">
        <v>649</v>
      </c>
      <c r="Y64" s="14" t="s">
        <v>650</v>
      </c>
      <c r="Z64" s="14"/>
    </row>
    <row r="65" customFormat="false" ht="45" hidden="false" customHeight="true" outlineLevel="0" collapsed="false">
      <c r="A65" s="14" t="n">
        <v>64</v>
      </c>
      <c r="B65" s="14" t="s">
        <v>64</v>
      </c>
      <c r="C65" s="14" t="s">
        <v>470</v>
      </c>
      <c r="D65" s="14" t="s">
        <v>591</v>
      </c>
      <c r="E65" s="14" t="s">
        <v>591</v>
      </c>
      <c r="F65" s="5" t="s">
        <v>491</v>
      </c>
      <c r="G65" s="14" t="s">
        <v>651</v>
      </c>
      <c r="H65" s="14" t="s">
        <v>418</v>
      </c>
      <c r="I65" s="14" t="n">
        <v>2013</v>
      </c>
      <c r="J65" s="5" t="s">
        <v>70</v>
      </c>
      <c r="K65" s="6" t="s">
        <v>71</v>
      </c>
      <c r="L65" s="14" t="s">
        <v>652</v>
      </c>
      <c r="M65" s="7"/>
      <c r="N65" s="14" t="s">
        <v>653</v>
      </c>
      <c r="O65" s="14" t="s">
        <v>74</v>
      </c>
      <c r="P65" s="14" t="s">
        <v>74</v>
      </c>
      <c r="Q65" s="14" t="s">
        <v>74</v>
      </c>
      <c r="R65" s="14" t="s">
        <v>74</v>
      </c>
      <c r="S65" s="14" t="s">
        <v>654</v>
      </c>
      <c r="T65" s="14" t="s">
        <v>655</v>
      </c>
      <c r="U65" s="14" t="s">
        <v>656</v>
      </c>
      <c r="V65" s="7"/>
      <c r="W65" s="7"/>
      <c r="X65" s="15" t="s">
        <v>657</v>
      </c>
      <c r="Y65" s="14" t="s">
        <v>658</v>
      </c>
      <c r="Z65" s="14"/>
    </row>
    <row r="66" customFormat="false" ht="45" hidden="false" customHeight="true" outlineLevel="0" collapsed="false">
      <c r="A66" s="14" t="n">
        <v>65</v>
      </c>
      <c r="B66" s="14" t="s">
        <v>64</v>
      </c>
      <c r="C66" s="14" t="s">
        <v>470</v>
      </c>
      <c r="D66" s="14" t="s">
        <v>591</v>
      </c>
      <c r="E66" s="14" t="s">
        <v>591</v>
      </c>
      <c r="F66" s="14" t="s">
        <v>461</v>
      </c>
      <c r="G66" s="14" t="s">
        <v>659</v>
      </c>
      <c r="H66" s="14" t="s">
        <v>660</v>
      </c>
      <c r="I66" s="14" t="n">
        <v>2023</v>
      </c>
      <c r="J66" s="5" t="s">
        <v>70</v>
      </c>
      <c r="K66" s="6" t="s">
        <v>71</v>
      </c>
      <c r="L66" s="14" t="s">
        <v>661</v>
      </c>
      <c r="M66" s="7"/>
      <c r="N66" s="14" t="s">
        <v>662</v>
      </c>
      <c r="O66" s="14" t="s">
        <v>74</v>
      </c>
      <c r="P66" s="14" t="s">
        <v>74</v>
      </c>
      <c r="Q66" s="14" t="s">
        <v>74</v>
      </c>
      <c r="R66" s="14" t="s">
        <v>74</v>
      </c>
      <c r="S66" s="14" t="s">
        <v>663</v>
      </c>
      <c r="T66" s="14" t="s">
        <v>664</v>
      </c>
      <c r="U66" s="14" t="s">
        <v>665</v>
      </c>
      <c r="V66" s="7"/>
      <c r="W66" s="7"/>
      <c r="X66" s="15" t="s">
        <v>666</v>
      </c>
      <c r="Y66" s="14" t="s">
        <v>667</v>
      </c>
      <c r="Z66" s="14"/>
    </row>
    <row r="67" customFormat="false" ht="45" hidden="false" customHeight="true" outlineLevel="0" collapsed="false">
      <c r="A67" s="14" t="n">
        <v>66</v>
      </c>
      <c r="B67" s="14" t="s">
        <v>64</v>
      </c>
      <c r="C67" s="14" t="s">
        <v>470</v>
      </c>
      <c r="D67" s="14" t="s">
        <v>591</v>
      </c>
      <c r="E67" s="14" t="s">
        <v>591</v>
      </c>
      <c r="F67" s="5" t="s">
        <v>491</v>
      </c>
      <c r="G67" s="14" t="s">
        <v>668</v>
      </c>
      <c r="H67" s="5" t="s">
        <v>669</v>
      </c>
      <c r="I67" s="14" t="n">
        <v>2016</v>
      </c>
      <c r="J67" s="5" t="s">
        <v>70</v>
      </c>
      <c r="K67" s="6" t="s">
        <v>71</v>
      </c>
      <c r="L67" s="14" t="s">
        <v>670</v>
      </c>
      <c r="M67" s="7"/>
      <c r="N67" s="14" t="s">
        <v>671</v>
      </c>
      <c r="O67" s="14" t="s">
        <v>74</v>
      </c>
      <c r="P67" s="14" t="s">
        <v>74</v>
      </c>
      <c r="Q67" s="14" t="s">
        <v>74</v>
      </c>
      <c r="R67" s="14" t="s">
        <v>74</v>
      </c>
      <c r="S67" s="14" t="s">
        <v>672</v>
      </c>
      <c r="T67" s="14" t="s">
        <v>673</v>
      </c>
      <c r="U67" s="14" t="s">
        <v>674</v>
      </c>
      <c r="V67" s="7"/>
      <c r="W67" s="7"/>
      <c r="X67" s="15" t="s">
        <v>675</v>
      </c>
      <c r="Y67" s="14" t="s">
        <v>437</v>
      </c>
      <c r="Z67" s="14"/>
    </row>
    <row r="68" customFormat="false" ht="45" hidden="false" customHeight="true" outlineLevel="0" collapsed="false">
      <c r="A68" s="14" t="n">
        <v>67</v>
      </c>
      <c r="B68" s="14" t="s">
        <v>64</v>
      </c>
      <c r="C68" s="14" t="s">
        <v>470</v>
      </c>
      <c r="D68" s="14" t="s">
        <v>591</v>
      </c>
      <c r="E68" s="14" t="s">
        <v>591</v>
      </c>
      <c r="F68" s="5" t="s">
        <v>524</v>
      </c>
      <c r="G68" s="14" t="s">
        <v>676</v>
      </c>
      <c r="H68" s="14" t="s">
        <v>677</v>
      </c>
      <c r="I68" s="14" t="n">
        <v>2021</v>
      </c>
      <c r="J68" s="5" t="s">
        <v>70</v>
      </c>
      <c r="K68" s="6" t="s">
        <v>71</v>
      </c>
      <c r="L68" s="14" t="s">
        <v>678</v>
      </c>
      <c r="M68" s="7"/>
      <c r="N68" s="14" t="s">
        <v>679</v>
      </c>
      <c r="O68" s="14" t="s">
        <v>74</v>
      </c>
      <c r="P68" s="14" t="s">
        <v>74</v>
      </c>
      <c r="Q68" s="14" t="s">
        <v>74</v>
      </c>
      <c r="R68" s="14" t="s">
        <v>74</v>
      </c>
      <c r="S68" s="14" t="s">
        <v>680</v>
      </c>
      <c r="T68" s="14" t="s">
        <v>681</v>
      </c>
      <c r="U68" s="14" t="s">
        <v>682</v>
      </c>
      <c r="V68" s="7"/>
      <c r="W68" s="7"/>
      <c r="X68" s="15" t="s">
        <v>683</v>
      </c>
      <c r="Y68" s="14" t="s">
        <v>542</v>
      </c>
      <c r="Z68" s="14"/>
    </row>
    <row r="69" customFormat="false" ht="45" hidden="false" customHeight="true" outlineLevel="0" collapsed="false">
      <c r="A69" s="14" t="n">
        <v>68</v>
      </c>
      <c r="B69" s="14" t="s">
        <v>64</v>
      </c>
      <c r="C69" s="14" t="s">
        <v>489</v>
      </c>
      <c r="D69" s="14"/>
      <c r="E69" s="6" t="s">
        <v>684</v>
      </c>
      <c r="F69" s="14" t="s">
        <v>67</v>
      </c>
      <c r="G69" s="14" t="s">
        <v>685</v>
      </c>
      <c r="H69" s="14" t="s">
        <v>686</v>
      </c>
      <c r="I69" s="14" t="n">
        <v>2019</v>
      </c>
      <c r="J69" s="5" t="s">
        <v>70</v>
      </c>
      <c r="K69" s="6" t="s">
        <v>71</v>
      </c>
      <c r="L69" s="14" t="s">
        <v>687</v>
      </c>
      <c r="M69" s="7"/>
      <c r="N69" s="14" t="s">
        <v>688</v>
      </c>
      <c r="O69" s="14" t="s">
        <v>74</v>
      </c>
      <c r="P69" s="14" t="s">
        <v>74</v>
      </c>
      <c r="Q69" s="14" t="s">
        <v>74</v>
      </c>
      <c r="R69" s="14" t="s">
        <v>74</v>
      </c>
      <c r="S69" s="14" t="s">
        <v>689</v>
      </c>
      <c r="T69" s="14" t="s">
        <v>690</v>
      </c>
      <c r="U69" s="14" t="s">
        <v>691</v>
      </c>
      <c r="V69" s="7"/>
      <c r="W69" s="7"/>
      <c r="X69" s="15" t="s">
        <v>692</v>
      </c>
      <c r="Y69" s="14" t="s">
        <v>693</v>
      </c>
      <c r="Z69" s="14"/>
    </row>
    <row r="70" customFormat="false" ht="45" hidden="false" customHeight="true" outlineLevel="0" collapsed="false">
      <c r="A70" s="14" t="n">
        <v>69</v>
      </c>
      <c r="B70" s="14" t="s">
        <v>64</v>
      </c>
      <c r="C70" s="14" t="s">
        <v>489</v>
      </c>
      <c r="D70" s="14"/>
      <c r="E70" s="6" t="s">
        <v>684</v>
      </c>
      <c r="F70" s="14" t="s">
        <v>67</v>
      </c>
      <c r="G70" s="14" t="s">
        <v>694</v>
      </c>
      <c r="H70" s="14" t="s">
        <v>695</v>
      </c>
      <c r="I70" s="14" t="n">
        <v>2022</v>
      </c>
      <c r="J70" s="5" t="s">
        <v>70</v>
      </c>
      <c r="K70" s="6" t="s">
        <v>71</v>
      </c>
      <c r="L70" s="14" t="s">
        <v>696</v>
      </c>
      <c r="M70" s="7"/>
      <c r="N70" s="14" t="s">
        <v>697</v>
      </c>
      <c r="O70" s="14" t="s">
        <v>74</v>
      </c>
      <c r="P70" s="14" t="s">
        <v>74</v>
      </c>
      <c r="Q70" s="14" t="s">
        <v>74</v>
      </c>
      <c r="R70" s="14" t="s">
        <v>74</v>
      </c>
      <c r="S70" s="14" t="s">
        <v>698</v>
      </c>
      <c r="T70" s="14" t="s">
        <v>699</v>
      </c>
      <c r="U70" s="14" t="s">
        <v>700</v>
      </c>
      <c r="V70" s="7"/>
      <c r="W70" s="7"/>
      <c r="X70" s="15" t="s">
        <v>701</v>
      </c>
      <c r="Y70" s="14" t="s">
        <v>702</v>
      </c>
      <c r="Z70" s="14"/>
    </row>
    <row r="71" customFormat="false" ht="45" hidden="false" customHeight="true" outlineLevel="0" collapsed="false">
      <c r="A71" s="14" t="n">
        <v>70</v>
      </c>
      <c r="B71" s="14" t="s">
        <v>64</v>
      </c>
      <c r="C71" s="14" t="s">
        <v>489</v>
      </c>
      <c r="D71" s="14"/>
      <c r="E71" s="6" t="s">
        <v>684</v>
      </c>
      <c r="F71" s="14" t="s">
        <v>278</v>
      </c>
      <c r="G71" s="14" t="s">
        <v>703</v>
      </c>
      <c r="H71" s="5" t="s">
        <v>704</v>
      </c>
      <c r="I71" s="14" t="n">
        <v>2022</v>
      </c>
      <c r="J71" s="5" t="s">
        <v>70</v>
      </c>
      <c r="K71" s="6" t="s">
        <v>71</v>
      </c>
      <c r="L71" s="14" t="s">
        <v>705</v>
      </c>
      <c r="M71" s="7"/>
      <c r="N71" s="14" t="s">
        <v>706</v>
      </c>
      <c r="O71" s="14" t="s">
        <v>74</v>
      </c>
      <c r="P71" s="14" t="s">
        <v>74</v>
      </c>
      <c r="Q71" s="14" t="s">
        <v>74</v>
      </c>
      <c r="R71" s="14" t="s">
        <v>74</v>
      </c>
      <c r="S71" s="14" t="s">
        <v>707</v>
      </c>
      <c r="T71" s="14" t="s">
        <v>708</v>
      </c>
      <c r="U71" s="14" t="s">
        <v>709</v>
      </c>
      <c r="V71" s="7"/>
      <c r="W71" s="7"/>
      <c r="X71" s="15" t="s">
        <v>710</v>
      </c>
      <c r="Y71" s="14" t="s">
        <v>711</v>
      </c>
      <c r="Z71" s="14"/>
    </row>
    <row r="72" customFormat="false" ht="45" hidden="false" customHeight="true" outlineLevel="0" collapsed="false">
      <c r="A72" s="14" t="n">
        <v>71</v>
      </c>
      <c r="B72" s="14" t="s">
        <v>64</v>
      </c>
      <c r="C72" s="14" t="s">
        <v>489</v>
      </c>
      <c r="D72" s="14"/>
      <c r="E72" s="6" t="s">
        <v>712</v>
      </c>
      <c r="F72" s="14" t="s">
        <v>278</v>
      </c>
      <c r="G72" s="14" t="s">
        <v>713</v>
      </c>
      <c r="H72" s="5" t="s">
        <v>714</v>
      </c>
      <c r="I72" s="14" t="n">
        <v>2023</v>
      </c>
      <c r="J72" s="5" t="s">
        <v>70</v>
      </c>
      <c r="K72" s="6" t="s">
        <v>71</v>
      </c>
      <c r="L72" s="14" t="s">
        <v>715</v>
      </c>
      <c r="M72" s="7"/>
      <c r="N72" s="14" t="s">
        <v>716</v>
      </c>
      <c r="O72" s="14" t="s">
        <v>74</v>
      </c>
      <c r="P72" s="14" t="s">
        <v>74</v>
      </c>
      <c r="Q72" s="14" t="s">
        <v>74</v>
      </c>
      <c r="R72" s="14" t="s">
        <v>74</v>
      </c>
      <c r="S72" s="14" t="s">
        <v>717</v>
      </c>
      <c r="T72" s="14" t="s">
        <v>718</v>
      </c>
      <c r="U72" s="14" t="s">
        <v>719</v>
      </c>
      <c r="V72" s="7"/>
      <c r="W72" s="7"/>
      <c r="X72" s="15" t="s">
        <v>720</v>
      </c>
      <c r="Y72" s="14" t="s">
        <v>721</v>
      </c>
      <c r="Z72" s="14"/>
    </row>
    <row r="73" customFormat="false" ht="45" hidden="false" customHeight="true" outlineLevel="0" collapsed="false">
      <c r="A73" s="17" t="n">
        <v>72</v>
      </c>
      <c r="B73" s="18" t="s">
        <v>632</v>
      </c>
      <c r="C73" s="17" t="s">
        <v>489</v>
      </c>
      <c r="D73" s="17"/>
      <c r="E73" s="20" t="s">
        <v>684</v>
      </c>
      <c r="F73" s="17" t="s">
        <v>278</v>
      </c>
      <c r="G73" s="17" t="s">
        <v>279</v>
      </c>
      <c r="H73" s="19" t="s">
        <v>280</v>
      </c>
      <c r="I73" s="17" t="n">
        <v>2021</v>
      </c>
      <c r="J73" s="19" t="s">
        <v>70</v>
      </c>
      <c r="K73" s="20" t="s">
        <v>71</v>
      </c>
      <c r="L73" s="21" t="s">
        <v>722</v>
      </c>
      <c r="M73" s="22"/>
      <c r="N73" s="21" t="s">
        <v>723</v>
      </c>
      <c r="O73" s="17" t="s">
        <v>74</v>
      </c>
      <c r="P73" s="21" t="s">
        <v>74</v>
      </c>
      <c r="Q73" s="17" t="s">
        <v>74</v>
      </c>
      <c r="R73" s="17" t="s">
        <v>74</v>
      </c>
      <c r="S73" s="17" t="s">
        <v>724</v>
      </c>
      <c r="T73" s="17" t="s">
        <v>725</v>
      </c>
      <c r="U73" s="17" t="s">
        <v>726</v>
      </c>
      <c r="V73" s="22"/>
      <c r="W73" s="22"/>
      <c r="X73" s="17" t="s">
        <v>286</v>
      </c>
      <c r="Y73" s="17" t="s">
        <v>287</v>
      </c>
      <c r="Z73" s="17" t="s">
        <v>727</v>
      </c>
    </row>
    <row r="74" customFormat="false" ht="45" hidden="false" customHeight="true" outlineLevel="0" collapsed="false">
      <c r="A74" s="14" t="n">
        <v>73</v>
      </c>
      <c r="B74" s="14" t="s">
        <v>64</v>
      </c>
      <c r="C74" s="14" t="s">
        <v>489</v>
      </c>
      <c r="D74" s="14"/>
      <c r="E74" s="6" t="s">
        <v>728</v>
      </c>
      <c r="F74" s="14" t="s">
        <v>278</v>
      </c>
      <c r="G74" s="14" t="s">
        <v>729</v>
      </c>
      <c r="H74" s="5" t="s">
        <v>730</v>
      </c>
      <c r="I74" s="14" t="n">
        <v>2023</v>
      </c>
      <c r="J74" s="5" t="s">
        <v>70</v>
      </c>
      <c r="K74" s="6" t="s">
        <v>71</v>
      </c>
      <c r="L74" s="14" t="s">
        <v>731</v>
      </c>
      <c r="M74" s="7"/>
      <c r="N74" s="14" t="s">
        <v>732</v>
      </c>
      <c r="O74" s="14" t="s">
        <v>74</v>
      </c>
      <c r="P74" s="14" t="s">
        <v>74</v>
      </c>
      <c r="Q74" s="14" t="s">
        <v>74</v>
      </c>
      <c r="R74" s="14" t="s">
        <v>74</v>
      </c>
      <c r="S74" s="14" t="s">
        <v>733</v>
      </c>
      <c r="T74" s="14" t="s">
        <v>734</v>
      </c>
      <c r="U74" s="14" t="s">
        <v>735</v>
      </c>
      <c r="V74" s="7"/>
      <c r="W74" s="7"/>
      <c r="X74" s="15" t="s">
        <v>736</v>
      </c>
      <c r="Y74" s="14" t="s">
        <v>721</v>
      </c>
      <c r="Z74" s="14"/>
    </row>
    <row r="75" customFormat="false" ht="45" hidden="false" customHeight="true" outlineLevel="0" collapsed="false">
      <c r="A75" s="14" t="n">
        <v>74</v>
      </c>
      <c r="B75" s="14" t="s">
        <v>64</v>
      </c>
      <c r="C75" s="14" t="s">
        <v>489</v>
      </c>
      <c r="D75" s="14"/>
      <c r="E75" s="6" t="s">
        <v>737</v>
      </c>
      <c r="F75" s="14" t="s">
        <v>278</v>
      </c>
      <c r="G75" s="14" t="s">
        <v>738</v>
      </c>
      <c r="H75" s="5" t="s">
        <v>739</v>
      </c>
      <c r="I75" s="14" t="n">
        <v>2021</v>
      </c>
      <c r="J75" s="5" t="s">
        <v>70</v>
      </c>
      <c r="K75" s="6" t="s">
        <v>71</v>
      </c>
      <c r="L75" s="14" t="s">
        <v>740</v>
      </c>
      <c r="M75" s="7"/>
      <c r="N75" s="14" t="s">
        <v>741</v>
      </c>
      <c r="O75" s="14" t="s">
        <v>74</v>
      </c>
      <c r="P75" s="14" t="s">
        <v>74</v>
      </c>
      <c r="Q75" s="14" t="s">
        <v>74</v>
      </c>
      <c r="R75" s="14" t="s">
        <v>74</v>
      </c>
      <c r="S75" s="14" t="s">
        <v>742</v>
      </c>
      <c r="T75" s="14" t="s">
        <v>743</v>
      </c>
      <c r="U75" s="5" t="s">
        <v>744</v>
      </c>
      <c r="V75" s="7"/>
      <c r="W75" s="7"/>
      <c r="X75" s="15" t="s">
        <v>745</v>
      </c>
      <c r="Y75" s="14" t="s">
        <v>746</v>
      </c>
      <c r="Z75" s="14"/>
    </row>
    <row r="76" customFormat="false" ht="45" hidden="false" customHeight="true" outlineLevel="0" collapsed="false">
      <c r="A76" s="14" t="n">
        <v>75</v>
      </c>
      <c r="B76" s="14" t="s">
        <v>64</v>
      </c>
      <c r="C76" s="14" t="s">
        <v>489</v>
      </c>
      <c r="D76" s="14"/>
      <c r="E76" s="6" t="s">
        <v>737</v>
      </c>
      <c r="F76" s="14" t="s">
        <v>278</v>
      </c>
      <c r="G76" s="14" t="s">
        <v>747</v>
      </c>
      <c r="H76" s="5" t="s">
        <v>748</v>
      </c>
      <c r="I76" s="14" t="n">
        <v>2023</v>
      </c>
      <c r="J76" s="5" t="s">
        <v>70</v>
      </c>
      <c r="K76" s="6" t="s">
        <v>71</v>
      </c>
      <c r="L76" s="14" t="s">
        <v>749</v>
      </c>
      <c r="M76" s="7"/>
      <c r="N76" s="14" t="s">
        <v>750</v>
      </c>
      <c r="O76" s="14" t="s">
        <v>74</v>
      </c>
      <c r="P76" s="14" t="s">
        <v>74</v>
      </c>
      <c r="Q76" s="14" t="s">
        <v>74</v>
      </c>
      <c r="R76" s="14" t="s">
        <v>74</v>
      </c>
      <c r="S76" s="14" t="s">
        <v>751</v>
      </c>
      <c r="T76" s="14" t="s">
        <v>752</v>
      </c>
      <c r="U76" s="14" t="s">
        <v>753</v>
      </c>
      <c r="V76" s="7"/>
      <c r="W76" s="7"/>
      <c r="X76" s="15" t="s">
        <v>754</v>
      </c>
      <c r="Y76" s="14" t="s">
        <v>755</v>
      </c>
      <c r="Z76" s="14"/>
    </row>
    <row r="77" customFormat="false" ht="45" hidden="false" customHeight="true" outlineLevel="0" collapsed="false">
      <c r="A77" s="14" t="n">
        <v>76</v>
      </c>
      <c r="B77" s="14" t="s">
        <v>64</v>
      </c>
      <c r="C77" s="14" t="s">
        <v>489</v>
      </c>
      <c r="D77" s="14"/>
      <c r="E77" s="6" t="s">
        <v>684</v>
      </c>
      <c r="F77" s="14" t="s">
        <v>278</v>
      </c>
      <c r="G77" s="14" t="s">
        <v>756</v>
      </c>
      <c r="H77" s="14" t="s">
        <v>430</v>
      </c>
      <c r="I77" s="14" t="n">
        <v>2023</v>
      </c>
      <c r="J77" s="5" t="s">
        <v>70</v>
      </c>
      <c r="K77" s="6" t="s">
        <v>71</v>
      </c>
      <c r="L77" s="14" t="s">
        <v>757</v>
      </c>
      <c r="M77" s="7"/>
      <c r="N77" s="14" t="s">
        <v>758</v>
      </c>
      <c r="O77" s="14" t="s">
        <v>74</v>
      </c>
      <c r="P77" s="14" t="s">
        <v>74</v>
      </c>
      <c r="Q77" s="14" t="s">
        <v>74</v>
      </c>
      <c r="R77" s="14" t="s">
        <v>74</v>
      </c>
      <c r="S77" s="14" t="s">
        <v>759</v>
      </c>
      <c r="T77" s="14" t="s">
        <v>760</v>
      </c>
      <c r="U77" s="14" t="s">
        <v>761</v>
      </c>
      <c r="V77" s="7"/>
      <c r="W77" s="7"/>
      <c r="X77" s="15" t="s">
        <v>762</v>
      </c>
      <c r="Y77" s="14" t="s">
        <v>437</v>
      </c>
      <c r="Z77" s="14"/>
    </row>
    <row r="78" customFormat="false" ht="45" hidden="false" customHeight="true" outlineLevel="0" collapsed="false">
      <c r="A78" s="14" t="n">
        <v>77</v>
      </c>
      <c r="B78" s="14" t="s">
        <v>64</v>
      </c>
      <c r="C78" s="14" t="s">
        <v>489</v>
      </c>
      <c r="D78" s="14"/>
      <c r="E78" s="6" t="s">
        <v>684</v>
      </c>
      <c r="F78" s="14" t="s">
        <v>763</v>
      </c>
      <c r="G78" s="14" t="s">
        <v>764</v>
      </c>
      <c r="H78" s="5" t="s">
        <v>765</v>
      </c>
      <c r="I78" s="14" t="n">
        <v>2018</v>
      </c>
      <c r="J78" s="5" t="s">
        <v>70</v>
      </c>
      <c r="K78" s="6" t="s">
        <v>71</v>
      </c>
      <c r="L78" s="14" t="s">
        <v>766</v>
      </c>
      <c r="M78" s="7"/>
      <c r="N78" s="14" t="s">
        <v>767</v>
      </c>
      <c r="O78" s="14" t="s">
        <v>74</v>
      </c>
      <c r="P78" s="14" t="s">
        <v>74</v>
      </c>
      <c r="Q78" s="14" t="s">
        <v>74</v>
      </c>
      <c r="R78" s="14" t="s">
        <v>74</v>
      </c>
      <c r="S78" s="14" t="s">
        <v>768</v>
      </c>
      <c r="T78" s="14" t="s">
        <v>769</v>
      </c>
      <c r="U78" s="14" t="s">
        <v>770</v>
      </c>
      <c r="V78" s="7"/>
      <c r="W78" s="7"/>
      <c r="X78" s="15" t="s">
        <v>771</v>
      </c>
      <c r="Y78" s="14" t="s">
        <v>772</v>
      </c>
      <c r="Z78" s="14"/>
    </row>
    <row r="79" customFormat="false" ht="45" hidden="false" customHeight="true" outlineLevel="0" collapsed="false">
      <c r="A79" s="14" t="n">
        <v>78</v>
      </c>
      <c r="B79" s="14" t="s">
        <v>64</v>
      </c>
      <c r="C79" s="14" t="s">
        <v>489</v>
      </c>
      <c r="D79" s="14"/>
      <c r="E79" s="6" t="s">
        <v>684</v>
      </c>
      <c r="F79" s="14" t="s">
        <v>763</v>
      </c>
      <c r="G79" s="14" t="s">
        <v>773</v>
      </c>
      <c r="H79" s="5" t="s">
        <v>774</v>
      </c>
      <c r="I79" s="14" t="n">
        <v>2022</v>
      </c>
      <c r="J79" s="5" t="s">
        <v>70</v>
      </c>
      <c r="K79" s="6" t="s">
        <v>71</v>
      </c>
      <c r="L79" s="14" t="s">
        <v>775</v>
      </c>
      <c r="M79" s="7"/>
      <c r="N79" s="14" t="s">
        <v>776</v>
      </c>
      <c r="O79" s="14" t="s">
        <v>74</v>
      </c>
      <c r="P79" s="14" t="s">
        <v>74</v>
      </c>
      <c r="Q79" s="14" t="s">
        <v>74</v>
      </c>
      <c r="R79" s="14" t="s">
        <v>74</v>
      </c>
      <c r="S79" s="14" t="s">
        <v>777</v>
      </c>
      <c r="T79" s="14" t="s">
        <v>778</v>
      </c>
      <c r="U79" s="14" t="s">
        <v>779</v>
      </c>
      <c r="V79" s="7"/>
      <c r="W79" s="7"/>
      <c r="X79" s="15" t="s">
        <v>780</v>
      </c>
      <c r="Y79" s="14" t="s">
        <v>781</v>
      </c>
      <c r="Z79" s="14"/>
    </row>
    <row r="80" customFormat="false" ht="45" hidden="false" customHeight="true" outlineLevel="0" collapsed="false">
      <c r="A80" s="14" t="n">
        <v>79</v>
      </c>
      <c r="B80" s="14" t="s">
        <v>64</v>
      </c>
      <c r="C80" s="14" t="s">
        <v>489</v>
      </c>
      <c r="D80" s="14"/>
      <c r="E80" s="6" t="s">
        <v>737</v>
      </c>
      <c r="F80" s="14" t="s">
        <v>763</v>
      </c>
      <c r="G80" s="14" t="s">
        <v>782</v>
      </c>
      <c r="H80" s="14" t="s">
        <v>783</v>
      </c>
      <c r="I80" s="14" t="n">
        <v>2013</v>
      </c>
      <c r="J80" s="5" t="s">
        <v>70</v>
      </c>
      <c r="K80" s="6" t="s">
        <v>71</v>
      </c>
      <c r="L80" s="14" t="s">
        <v>784</v>
      </c>
      <c r="M80" s="7"/>
      <c r="N80" s="14" t="s">
        <v>785</v>
      </c>
      <c r="O80" s="14" t="s">
        <v>74</v>
      </c>
      <c r="P80" s="14" t="s">
        <v>74</v>
      </c>
      <c r="Q80" s="14" t="s">
        <v>74</v>
      </c>
      <c r="R80" s="14" t="s">
        <v>74</v>
      </c>
      <c r="S80" s="14" t="s">
        <v>786</v>
      </c>
      <c r="T80" s="14" t="s">
        <v>787</v>
      </c>
      <c r="U80" s="14" t="s">
        <v>788</v>
      </c>
      <c r="V80" s="7"/>
      <c r="W80" s="7"/>
      <c r="X80" s="15" t="s">
        <v>789</v>
      </c>
      <c r="Y80" s="14" t="s">
        <v>790</v>
      </c>
      <c r="Z80" s="14"/>
    </row>
    <row r="81" customFormat="false" ht="45" hidden="false" customHeight="true" outlineLevel="0" collapsed="false">
      <c r="A81" s="14" t="n">
        <v>80</v>
      </c>
      <c r="B81" s="14" t="s">
        <v>64</v>
      </c>
      <c r="C81" s="14" t="s">
        <v>489</v>
      </c>
      <c r="D81" s="14"/>
      <c r="E81" s="6" t="s">
        <v>737</v>
      </c>
      <c r="F81" s="14" t="s">
        <v>763</v>
      </c>
      <c r="G81" s="14" t="s">
        <v>791</v>
      </c>
      <c r="H81" s="5" t="s">
        <v>792</v>
      </c>
      <c r="I81" s="14" t="n">
        <v>2019</v>
      </c>
      <c r="J81" s="5" t="s">
        <v>70</v>
      </c>
      <c r="K81" s="6" t="s">
        <v>71</v>
      </c>
      <c r="L81" s="14" t="s">
        <v>793</v>
      </c>
      <c r="M81" s="7"/>
      <c r="N81" s="14" t="s">
        <v>794</v>
      </c>
      <c r="O81" s="14" t="s">
        <v>74</v>
      </c>
      <c r="P81" s="14" t="s">
        <v>74</v>
      </c>
      <c r="Q81" s="14" t="s">
        <v>74</v>
      </c>
      <c r="R81" s="14" t="s">
        <v>74</v>
      </c>
      <c r="S81" s="14" t="s">
        <v>795</v>
      </c>
      <c r="T81" s="14" t="s">
        <v>796</v>
      </c>
      <c r="U81" s="14" t="s">
        <v>797</v>
      </c>
      <c r="V81" s="7"/>
      <c r="W81" s="7"/>
      <c r="X81" s="15" t="s">
        <v>798</v>
      </c>
      <c r="Y81" s="14" t="s">
        <v>799</v>
      </c>
      <c r="Z81" s="14"/>
    </row>
    <row r="82" customFormat="false" ht="45" hidden="false" customHeight="true" outlineLevel="0" collapsed="false">
      <c r="A82" s="14" t="n">
        <v>81</v>
      </c>
      <c r="B82" s="14" t="s">
        <v>64</v>
      </c>
      <c r="C82" s="14" t="s">
        <v>489</v>
      </c>
      <c r="D82" s="14"/>
      <c r="E82" s="6" t="s">
        <v>684</v>
      </c>
      <c r="F82" s="14" t="s">
        <v>297</v>
      </c>
      <c r="G82" s="14" t="s">
        <v>800</v>
      </c>
      <c r="H82" s="5" t="s">
        <v>801</v>
      </c>
      <c r="I82" s="14" t="n">
        <v>2009</v>
      </c>
      <c r="J82" s="5" t="s">
        <v>70</v>
      </c>
      <c r="K82" s="6" t="s">
        <v>71</v>
      </c>
      <c r="L82" s="14" t="s">
        <v>802</v>
      </c>
      <c r="M82" s="7"/>
      <c r="N82" s="14" t="s">
        <v>803</v>
      </c>
      <c r="O82" s="14" t="s">
        <v>74</v>
      </c>
      <c r="P82" s="14" t="s">
        <v>74</v>
      </c>
      <c r="Q82" s="14" t="s">
        <v>74</v>
      </c>
      <c r="R82" s="14" t="s">
        <v>74</v>
      </c>
      <c r="S82" s="14" t="s">
        <v>804</v>
      </c>
      <c r="T82" s="14" t="s">
        <v>805</v>
      </c>
      <c r="U82" s="14" t="s">
        <v>806</v>
      </c>
      <c r="V82" s="7"/>
      <c r="W82" s="7"/>
      <c r="X82" s="15" t="s">
        <v>807</v>
      </c>
      <c r="Y82" s="14" t="s">
        <v>808</v>
      </c>
      <c r="Z82" s="14"/>
    </row>
    <row r="83" customFormat="false" ht="45" hidden="false" customHeight="true" outlineLevel="0" collapsed="false">
      <c r="A83" s="14" t="n">
        <v>82</v>
      </c>
      <c r="B83" s="14" t="s">
        <v>64</v>
      </c>
      <c r="C83" s="14" t="s">
        <v>489</v>
      </c>
      <c r="D83" s="14"/>
      <c r="E83" s="6" t="s">
        <v>737</v>
      </c>
      <c r="F83" s="14" t="s">
        <v>297</v>
      </c>
      <c r="G83" s="14" t="s">
        <v>809</v>
      </c>
      <c r="H83" s="5" t="s">
        <v>810</v>
      </c>
      <c r="I83" s="14" t="n">
        <v>2017</v>
      </c>
      <c r="J83" s="5" t="s">
        <v>70</v>
      </c>
      <c r="K83" s="6" t="s">
        <v>71</v>
      </c>
      <c r="L83" s="14" t="s">
        <v>811</v>
      </c>
      <c r="M83" s="7"/>
      <c r="N83" s="14" t="s">
        <v>812</v>
      </c>
      <c r="O83" s="14" t="s">
        <v>74</v>
      </c>
      <c r="P83" s="14" t="s">
        <v>74</v>
      </c>
      <c r="Q83" s="14" t="s">
        <v>74</v>
      </c>
      <c r="R83" s="14" t="s">
        <v>74</v>
      </c>
      <c r="S83" s="14" t="s">
        <v>813</v>
      </c>
      <c r="T83" s="14" t="s">
        <v>814</v>
      </c>
      <c r="U83" s="14" t="s">
        <v>815</v>
      </c>
      <c r="V83" s="7"/>
      <c r="W83" s="7"/>
      <c r="X83" s="15" t="s">
        <v>816</v>
      </c>
      <c r="Y83" s="14" t="s">
        <v>427</v>
      </c>
      <c r="Z83" s="14"/>
    </row>
    <row r="84" customFormat="false" ht="45" hidden="false" customHeight="true" outlineLevel="0" collapsed="false">
      <c r="A84" s="14" t="n">
        <v>83</v>
      </c>
      <c r="B84" s="14" t="s">
        <v>64</v>
      </c>
      <c r="C84" s="14" t="s">
        <v>489</v>
      </c>
      <c r="D84" s="14"/>
      <c r="E84" s="6" t="s">
        <v>737</v>
      </c>
      <c r="F84" s="14" t="s">
        <v>297</v>
      </c>
      <c r="G84" s="14" t="s">
        <v>817</v>
      </c>
      <c r="H84" s="5" t="s">
        <v>818</v>
      </c>
      <c r="I84" s="14" t="n">
        <v>2019</v>
      </c>
      <c r="J84" s="5" t="s">
        <v>70</v>
      </c>
      <c r="K84" s="6" t="s">
        <v>71</v>
      </c>
      <c r="L84" s="14" t="s">
        <v>819</v>
      </c>
      <c r="M84" s="7"/>
      <c r="N84" s="14" t="s">
        <v>820</v>
      </c>
      <c r="O84" s="14" t="s">
        <v>74</v>
      </c>
      <c r="P84" s="14" t="s">
        <v>74</v>
      </c>
      <c r="Q84" s="14" t="s">
        <v>74</v>
      </c>
      <c r="R84" s="14" t="s">
        <v>74</v>
      </c>
      <c r="S84" s="14" t="s">
        <v>821</v>
      </c>
      <c r="T84" s="14" t="s">
        <v>822</v>
      </c>
      <c r="U84" s="14" t="s">
        <v>823</v>
      </c>
      <c r="V84" s="7"/>
      <c r="W84" s="7"/>
      <c r="X84" s="15" t="s">
        <v>824</v>
      </c>
      <c r="Y84" s="14" t="s">
        <v>825</v>
      </c>
      <c r="Z84" s="14"/>
    </row>
    <row r="85" customFormat="false" ht="45" hidden="false" customHeight="true" outlineLevel="0" collapsed="false">
      <c r="A85" s="14" t="n">
        <v>84</v>
      </c>
      <c r="B85" s="14" t="s">
        <v>64</v>
      </c>
      <c r="C85" s="14" t="s">
        <v>489</v>
      </c>
      <c r="D85" s="14"/>
      <c r="E85" s="6" t="s">
        <v>737</v>
      </c>
      <c r="F85" s="14" t="s">
        <v>359</v>
      </c>
      <c r="G85" s="14" t="s">
        <v>826</v>
      </c>
      <c r="H85" s="14" t="s">
        <v>827</v>
      </c>
      <c r="I85" s="14" t="n">
        <v>2021</v>
      </c>
      <c r="J85" s="5" t="s">
        <v>70</v>
      </c>
      <c r="K85" s="6" t="s">
        <v>71</v>
      </c>
      <c r="L85" s="14" t="s">
        <v>828</v>
      </c>
      <c r="M85" s="7"/>
      <c r="N85" s="14" t="s">
        <v>829</v>
      </c>
      <c r="O85" s="14" t="s">
        <v>74</v>
      </c>
      <c r="P85" s="14" t="s">
        <v>74</v>
      </c>
      <c r="Q85" s="14" t="s">
        <v>74</v>
      </c>
      <c r="R85" s="14" t="s">
        <v>74</v>
      </c>
      <c r="S85" s="14" t="s">
        <v>830</v>
      </c>
      <c r="T85" s="14" t="s">
        <v>831</v>
      </c>
      <c r="U85" s="14" t="s">
        <v>832</v>
      </c>
      <c r="V85" s="7"/>
      <c r="W85" s="7"/>
      <c r="X85" s="15" t="s">
        <v>833</v>
      </c>
      <c r="Y85" s="14" t="s">
        <v>243</v>
      </c>
      <c r="Z85" s="14"/>
    </row>
    <row r="86" customFormat="false" ht="45" hidden="false" customHeight="true" outlineLevel="0" collapsed="false">
      <c r="A86" s="14" t="n">
        <v>85</v>
      </c>
      <c r="B86" s="14" t="s">
        <v>64</v>
      </c>
      <c r="C86" s="14" t="s">
        <v>489</v>
      </c>
      <c r="D86" s="14"/>
      <c r="E86" s="6" t="s">
        <v>737</v>
      </c>
      <c r="F86" s="14" t="s">
        <v>359</v>
      </c>
      <c r="G86" s="14" t="s">
        <v>834</v>
      </c>
      <c r="H86" s="5" t="s">
        <v>835</v>
      </c>
      <c r="I86" s="14" t="n">
        <v>2023</v>
      </c>
      <c r="J86" s="5" t="s">
        <v>70</v>
      </c>
      <c r="K86" s="6" t="s">
        <v>71</v>
      </c>
      <c r="L86" s="14" t="s">
        <v>836</v>
      </c>
      <c r="M86" s="7"/>
      <c r="N86" s="14" t="s">
        <v>837</v>
      </c>
      <c r="O86" s="14" t="s">
        <v>74</v>
      </c>
      <c r="P86" s="14" t="s">
        <v>74</v>
      </c>
      <c r="Q86" s="14" t="s">
        <v>74</v>
      </c>
      <c r="R86" s="14" t="s">
        <v>74</v>
      </c>
      <c r="S86" s="14" t="s">
        <v>838</v>
      </c>
      <c r="T86" s="14" t="s">
        <v>839</v>
      </c>
      <c r="U86" s="14" t="s">
        <v>840</v>
      </c>
      <c r="V86" s="7"/>
      <c r="W86" s="7"/>
      <c r="X86" s="15" t="s">
        <v>841</v>
      </c>
      <c r="Y86" s="14" t="s">
        <v>400</v>
      </c>
      <c r="Z86" s="14"/>
    </row>
    <row r="87" customFormat="false" ht="45" hidden="false" customHeight="true" outlineLevel="0" collapsed="false">
      <c r="A87" s="17" t="n">
        <v>86</v>
      </c>
      <c r="B87" s="18" t="s">
        <v>632</v>
      </c>
      <c r="C87" s="17" t="s">
        <v>489</v>
      </c>
      <c r="D87" s="17"/>
      <c r="E87" s="20" t="s">
        <v>684</v>
      </c>
      <c r="F87" s="17" t="s">
        <v>278</v>
      </c>
      <c r="G87" s="17" t="s">
        <v>703</v>
      </c>
      <c r="H87" s="19" t="s">
        <v>704</v>
      </c>
      <c r="I87" s="17" t="n">
        <v>2022</v>
      </c>
      <c r="J87" s="19" t="s">
        <v>70</v>
      </c>
      <c r="K87" s="20" t="s">
        <v>71</v>
      </c>
      <c r="L87" s="21" t="s">
        <v>705</v>
      </c>
      <c r="M87" s="22"/>
      <c r="N87" s="21" t="s">
        <v>706</v>
      </c>
      <c r="O87" s="17" t="s">
        <v>74</v>
      </c>
      <c r="P87" s="21" t="s">
        <v>74</v>
      </c>
      <c r="Q87" s="17" t="s">
        <v>74</v>
      </c>
      <c r="R87" s="17" t="s">
        <v>74</v>
      </c>
      <c r="S87" s="21" t="s">
        <v>707</v>
      </c>
      <c r="T87" s="17" t="s">
        <v>708</v>
      </c>
      <c r="U87" s="17" t="s">
        <v>709</v>
      </c>
      <c r="V87" s="22"/>
      <c r="W87" s="22"/>
      <c r="X87" s="17" t="s">
        <v>710</v>
      </c>
      <c r="Y87" s="17" t="s">
        <v>711</v>
      </c>
      <c r="Z87" s="17" t="s">
        <v>842</v>
      </c>
    </row>
    <row r="88" customFormat="false" ht="45" hidden="false" customHeight="true" outlineLevel="0" collapsed="false">
      <c r="A88" s="14" t="n">
        <v>87</v>
      </c>
      <c r="B88" s="14" t="s">
        <v>64</v>
      </c>
      <c r="C88" s="14" t="s">
        <v>489</v>
      </c>
      <c r="D88" s="14"/>
      <c r="E88" s="6" t="s">
        <v>737</v>
      </c>
      <c r="F88" s="14" t="s">
        <v>359</v>
      </c>
      <c r="G88" s="14" t="s">
        <v>843</v>
      </c>
      <c r="H88" s="5" t="s">
        <v>844</v>
      </c>
      <c r="I88" s="14" t="n">
        <v>2023</v>
      </c>
      <c r="J88" s="5" t="s">
        <v>70</v>
      </c>
      <c r="K88" s="6" t="s">
        <v>71</v>
      </c>
      <c r="L88" s="14" t="s">
        <v>845</v>
      </c>
      <c r="M88" s="7"/>
      <c r="N88" s="14" t="s">
        <v>846</v>
      </c>
      <c r="O88" s="14" t="s">
        <v>74</v>
      </c>
      <c r="P88" s="14" t="s">
        <v>74</v>
      </c>
      <c r="Q88" s="14" t="s">
        <v>74</v>
      </c>
      <c r="R88" s="14" t="s">
        <v>74</v>
      </c>
      <c r="S88" s="14" t="s">
        <v>847</v>
      </c>
      <c r="T88" s="14" t="s">
        <v>848</v>
      </c>
      <c r="U88" s="14" t="s">
        <v>849</v>
      </c>
      <c r="V88" s="7"/>
      <c r="W88" s="7"/>
      <c r="X88" s="15" t="s">
        <v>850</v>
      </c>
      <c r="Y88" s="14" t="s">
        <v>851</v>
      </c>
      <c r="Z88" s="14"/>
    </row>
    <row r="89" customFormat="false" ht="45" hidden="false" customHeight="true" outlineLevel="0" collapsed="false">
      <c r="A89" s="14" t="n">
        <v>88</v>
      </c>
      <c r="B89" s="14" t="s">
        <v>64</v>
      </c>
      <c r="C89" s="14" t="s">
        <v>489</v>
      </c>
      <c r="D89" s="14"/>
      <c r="E89" s="6" t="s">
        <v>684</v>
      </c>
      <c r="F89" s="14" t="s">
        <v>359</v>
      </c>
      <c r="G89" s="14" t="s">
        <v>852</v>
      </c>
      <c r="H89" s="5" t="s">
        <v>853</v>
      </c>
      <c r="I89" s="14" t="n">
        <v>2012</v>
      </c>
      <c r="J89" s="5" t="s">
        <v>70</v>
      </c>
      <c r="K89" s="6" t="s">
        <v>71</v>
      </c>
      <c r="L89" s="14" t="s">
        <v>854</v>
      </c>
      <c r="M89" s="7"/>
      <c r="N89" s="14" t="s">
        <v>855</v>
      </c>
      <c r="O89" s="14" t="s">
        <v>74</v>
      </c>
      <c r="P89" s="14" t="s">
        <v>74</v>
      </c>
      <c r="Q89" s="14" t="s">
        <v>74</v>
      </c>
      <c r="R89" s="14" t="s">
        <v>74</v>
      </c>
      <c r="S89" s="14" t="s">
        <v>856</v>
      </c>
      <c r="T89" s="14" t="s">
        <v>857</v>
      </c>
      <c r="U89" s="14" t="s">
        <v>858</v>
      </c>
      <c r="V89" s="7"/>
      <c r="W89" s="7"/>
      <c r="X89" s="15" t="s">
        <v>859</v>
      </c>
      <c r="Y89" s="14" t="s">
        <v>622</v>
      </c>
      <c r="Z89" s="14"/>
    </row>
    <row r="90" customFormat="false" ht="45" hidden="false" customHeight="true" outlineLevel="0" collapsed="false">
      <c r="A90" s="14" t="n">
        <v>89</v>
      </c>
      <c r="B90" s="14" t="s">
        <v>64</v>
      </c>
      <c r="C90" s="14" t="s">
        <v>489</v>
      </c>
      <c r="D90" s="14"/>
      <c r="E90" s="6" t="s">
        <v>737</v>
      </c>
      <c r="F90" s="14" t="s">
        <v>297</v>
      </c>
      <c r="G90" s="14" t="s">
        <v>860</v>
      </c>
      <c r="H90" s="14" t="s">
        <v>827</v>
      </c>
      <c r="I90" s="14" t="n">
        <v>2021</v>
      </c>
      <c r="J90" s="5" t="s">
        <v>70</v>
      </c>
      <c r="K90" s="6" t="s">
        <v>71</v>
      </c>
      <c r="L90" s="14" t="s">
        <v>740</v>
      </c>
      <c r="M90" s="7"/>
      <c r="N90" s="14" t="s">
        <v>861</v>
      </c>
      <c r="O90" s="14" t="s">
        <v>74</v>
      </c>
      <c r="P90" s="14" t="s">
        <v>74</v>
      </c>
      <c r="Q90" s="14" t="s">
        <v>74</v>
      </c>
      <c r="R90" s="14" t="s">
        <v>74</v>
      </c>
      <c r="S90" s="14"/>
      <c r="T90" s="14"/>
      <c r="U90" s="14" t="s">
        <v>862</v>
      </c>
      <c r="V90" s="7"/>
      <c r="W90" s="7"/>
      <c r="X90" s="15" t="s">
        <v>863</v>
      </c>
      <c r="Y90" s="14" t="s">
        <v>864</v>
      </c>
      <c r="Z90" s="14" t="s">
        <v>107</v>
      </c>
    </row>
    <row r="91" customFormat="false" ht="45" hidden="false" customHeight="true" outlineLevel="0" collapsed="false">
      <c r="A91" s="14" t="n">
        <v>90</v>
      </c>
      <c r="B91" s="14" t="s">
        <v>64</v>
      </c>
      <c r="C91" s="14" t="s">
        <v>489</v>
      </c>
      <c r="D91" s="14"/>
      <c r="E91" s="6" t="s">
        <v>737</v>
      </c>
      <c r="F91" s="14" t="s">
        <v>297</v>
      </c>
      <c r="G91" s="14" t="s">
        <v>865</v>
      </c>
      <c r="H91" s="5" t="s">
        <v>866</v>
      </c>
      <c r="I91" s="14" t="n">
        <v>2016</v>
      </c>
      <c r="J91" s="5" t="s">
        <v>70</v>
      </c>
      <c r="K91" s="6" t="s">
        <v>71</v>
      </c>
      <c r="L91" s="14" t="s">
        <v>867</v>
      </c>
      <c r="M91" s="7"/>
      <c r="N91" s="14" t="s">
        <v>868</v>
      </c>
      <c r="O91" s="14" t="s">
        <v>74</v>
      </c>
      <c r="P91" s="14" t="s">
        <v>74</v>
      </c>
      <c r="Q91" s="14" t="s">
        <v>74</v>
      </c>
      <c r="R91" s="14" t="s">
        <v>74</v>
      </c>
      <c r="S91" s="14" t="s">
        <v>869</v>
      </c>
      <c r="T91" s="14" t="s">
        <v>870</v>
      </c>
      <c r="U91" s="14" t="s">
        <v>871</v>
      </c>
      <c r="V91" s="7"/>
      <c r="W91" s="7"/>
      <c r="X91" s="15" t="s">
        <v>872</v>
      </c>
      <c r="Y91" s="14" t="s">
        <v>375</v>
      </c>
      <c r="Z91" s="14"/>
    </row>
    <row r="92" customFormat="false" ht="45" hidden="false" customHeight="true" outlineLevel="0" collapsed="false">
      <c r="A92" s="14" t="n">
        <v>91</v>
      </c>
      <c r="B92" s="14" t="s">
        <v>64</v>
      </c>
      <c r="C92" s="14" t="s">
        <v>489</v>
      </c>
      <c r="D92" s="14"/>
      <c r="E92" s="6" t="s">
        <v>737</v>
      </c>
      <c r="F92" s="14" t="s">
        <v>359</v>
      </c>
      <c r="G92" s="14" t="s">
        <v>873</v>
      </c>
      <c r="H92" s="5" t="s">
        <v>874</v>
      </c>
      <c r="I92" s="14" t="n">
        <v>2024</v>
      </c>
      <c r="J92" s="5" t="s">
        <v>70</v>
      </c>
      <c r="K92" s="6" t="s">
        <v>71</v>
      </c>
      <c r="L92" s="14" t="s">
        <v>875</v>
      </c>
      <c r="M92" s="7"/>
      <c r="N92" s="14" t="s">
        <v>876</v>
      </c>
      <c r="O92" s="14" t="s">
        <v>74</v>
      </c>
      <c r="P92" s="14" t="s">
        <v>74</v>
      </c>
      <c r="Q92" s="14" t="s">
        <v>74</v>
      </c>
      <c r="R92" s="14" t="s">
        <v>74</v>
      </c>
      <c r="S92" s="14" t="s">
        <v>877</v>
      </c>
      <c r="T92" s="14" t="s">
        <v>878</v>
      </c>
      <c r="U92" s="14" t="s">
        <v>879</v>
      </c>
      <c r="V92" s="7"/>
      <c r="W92" s="7"/>
      <c r="X92" s="15" t="s">
        <v>880</v>
      </c>
      <c r="Y92" s="14" t="s">
        <v>808</v>
      </c>
      <c r="Z92" s="14"/>
    </row>
    <row r="93" customFormat="false" ht="45" hidden="false" customHeight="true" outlineLevel="0" collapsed="false">
      <c r="A93" s="14" t="n">
        <v>92</v>
      </c>
      <c r="B93" s="14" t="s">
        <v>64</v>
      </c>
      <c r="C93" s="14" t="s">
        <v>489</v>
      </c>
      <c r="D93" s="14"/>
      <c r="E93" s="6" t="s">
        <v>712</v>
      </c>
      <c r="F93" s="14" t="s">
        <v>881</v>
      </c>
      <c r="G93" s="14" t="s">
        <v>882</v>
      </c>
      <c r="H93" s="5" t="s">
        <v>883</v>
      </c>
      <c r="I93" s="14" t="n">
        <v>2024</v>
      </c>
      <c r="J93" s="5" t="s">
        <v>70</v>
      </c>
      <c r="K93" s="6" t="s">
        <v>71</v>
      </c>
      <c r="L93" s="14" t="s">
        <v>884</v>
      </c>
      <c r="M93" s="7"/>
      <c r="N93" s="14" t="s">
        <v>885</v>
      </c>
      <c r="O93" s="14" t="s">
        <v>74</v>
      </c>
      <c r="P93" s="14" t="s">
        <v>74</v>
      </c>
      <c r="Q93" s="14" t="s">
        <v>74</v>
      </c>
      <c r="R93" s="14" t="s">
        <v>74</v>
      </c>
      <c r="S93" s="14" t="s">
        <v>886</v>
      </c>
      <c r="T93" s="14" t="s">
        <v>887</v>
      </c>
      <c r="U93" s="14" t="s">
        <v>888</v>
      </c>
      <c r="V93" s="7"/>
      <c r="W93" s="7"/>
      <c r="X93" s="15" t="s">
        <v>889</v>
      </c>
      <c r="Y93" s="14"/>
      <c r="Z93" s="14"/>
    </row>
    <row r="94" customFormat="false" ht="45" hidden="false" customHeight="true" outlineLevel="0" collapsed="false">
      <c r="A94" s="14" t="n">
        <v>93</v>
      </c>
      <c r="B94" s="14" t="s">
        <v>64</v>
      </c>
      <c r="C94" s="14" t="s">
        <v>489</v>
      </c>
      <c r="D94" s="14"/>
      <c r="E94" s="6" t="s">
        <v>737</v>
      </c>
      <c r="F94" s="14" t="s">
        <v>881</v>
      </c>
      <c r="G94" s="5" t="s">
        <v>890</v>
      </c>
      <c r="H94" s="5" t="s">
        <v>891</v>
      </c>
      <c r="I94" s="14"/>
      <c r="J94" s="5" t="s">
        <v>70</v>
      </c>
      <c r="K94" s="6" t="s">
        <v>71</v>
      </c>
      <c r="L94" s="14" t="s">
        <v>892</v>
      </c>
      <c r="M94" s="7"/>
      <c r="N94" s="14" t="s">
        <v>893</v>
      </c>
      <c r="O94" s="14" t="s">
        <v>74</v>
      </c>
      <c r="P94" s="14" t="s">
        <v>74</v>
      </c>
      <c r="Q94" s="14" t="s">
        <v>74</v>
      </c>
      <c r="R94" s="14" t="s">
        <v>74</v>
      </c>
      <c r="S94" s="14" t="s">
        <v>894</v>
      </c>
      <c r="T94" s="14" t="s">
        <v>895</v>
      </c>
      <c r="U94" s="14" t="s">
        <v>896</v>
      </c>
      <c r="V94" s="7"/>
      <c r="W94" s="7"/>
      <c r="X94" s="15" t="s">
        <v>897</v>
      </c>
      <c r="Y94" s="14" t="s">
        <v>898</v>
      </c>
      <c r="Z94" s="14" t="s">
        <v>899</v>
      </c>
    </row>
    <row r="95" customFormat="false" ht="45" hidden="false" customHeight="true" outlineLevel="0" collapsed="false">
      <c r="A95" s="14" t="n">
        <v>94</v>
      </c>
      <c r="B95" s="14" t="s">
        <v>64</v>
      </c>
      <c r="C95" s="14" t="s">
        <v>489</v>
      </c>
      <c r="D95" s="14"/>
      <c r="E95" s="6" t="s">
        <v>900</v>
      </c>
      <c r="F95" s="14" t="s">
        <v>461</v>
      </c>
      <c r="G95" s="14" t="s">
        <v>901</v>
      </c>
      <c r="H95" s="14" t="s">
        <v>902</v>
      </c>
      <c r="I95" s="14" t="n">
        <v>2023</v>
      </c>
      <c r="J95" s="5" t="s">
        <v>70</v>
      </c>
      <c r="K95" s="6" t="s">
        <v>71</v>
      </c>
      <c r="L95" s="14" t="s">
        <v>903</v>
      </c>
      <c r="M95" s="7"/>
      <c r="N95" s="14" t="s">
        <v>904</v>
      </c>
      <c r="O95" s="14" t="s">
        <v>74</v>
      </c>
      <c r="P95" s="14" t="s">
        <v>74</v>
      </c>
      <c r="Q95" s="14" t="s">
        <v>74</v>
      </c>
      <c r="R95" s="14" t="s">
        <v>74</v>
      </c>
      <c r="S95" s="14" t="s">
        <v>905</v>
      </c>
      <c r="T95" s="14" t="s">
        <v>906</v>
      </c>
      <c r="U95" s="14" t="s">
        <v>907</v>
      </c>
      <c r="V95" s="7"/>
      <c r="W95" s="7"/>
      <c r="X95" s="15" t="s">
        <v>908</v>
      </c>
      <c r="Y95" s="14" t="s">
        <v>400</v>
      </c>
      <c r="Z95" s="14"/>
    </row>
    <row r="96" customFormat="false" ht="45" hidden="false" customHeight="true" outlineLevel="0" collapsed="false">
      <c r="A96" s="14" t="n">
        <v>95</v>
      </c>
      <c r="B96" s="14" t="s">
        <v>64</v>
      </c>
      <c r="C96" s="14" t="s">
        <v>489</v>
      </c>
      <c r="D96" s="14"/>
      <c r="E96" s="6" t="s">
        <v>490</v>
      </c>
      <c r="F96" s="14" t="s">
        <v>461</v>
      </c>
      <c r="G96" s="5" t="s">
        <v>909</v>
      </c>
      <c r="H96" s="14" t="s">
        <v>910</v>
      </c>
      <c r="I96" s="14" t="n">
        <v>2024</v>
      </c>
      <c r="J96" s="5" t="s">
        <v>70</v>
      </c>
      <c r="K96" s="6" t="s">
        <v>71</v>
      </c>
      <c r="L96" s="14" t="s">
        <v>911</v>
      </c>
      <c r="M96" s="7"/>
      <c r="N96" s="14" t="s">
        <v>912</v>
      </c>
      <c r="O96" s="14" t="s">
        <v>74</v>
      </c>
      <c r="P96" s="14" t="s">
        <v>74</v>
      </c>
      <c r="Q96" s="14" t="s">
        <v>74</v>
      </c>
      <c r="R96" s="14" t="s">
        <v>74</v>
      </c>
      <c r="S96" s="14" t="s">
        <v>913</v>
      </c>
      <c r="T96" s="14" t="s">
        <v>914</v>
      </c>
      <c r="U96" s="14" t="s">
        <v>915</v>
      </c>
      <c r="V96" s="7"/>
      <c r="W96" s="7"/>
      <c r="X96" s="15" t="s">
        <v>916</v>
      </c>
      <c r="Y96" s="14" t="s">
        <v>910</v>
      </c>
      <c r="Z96" s="14"/>
    </row>
    <row r="97" customFormat="false" ht="45" hidden="false" customHeight="true" outlineLevel="0" collapsed="false">
      <c r="A97" s="14" t="n">
        <v>96</v>
      </c>
      <c r="B97" s="14" t="s">
        <v>64</v>
      </c>
      <c r="C97" s="14" t="s">
        <v>489</v>
      </c>
      <c r="D97" s="14"/>
      <c r="E97" s="6" t="s">
        <v>737</v>
      </c>
      <c r="F97" s="14" t="s">
        <v>461</v>
      </c>
      <c r="G97" s="14" t="s">
        <v>917</v>
      </c>
      <c r="H97" s="5" t="s">
        <v>918</v>
      </c>
      <c r="I97" s="14" t="n">
        <v>2015</v>
      </c>
      <c r="J97" s="5" t="s">
        <v>70</v>
      </c>
      <c r="K97" s="6" t="s">
        <v>71</v>
      </c>
      <c r="L97" s="14" t="s">
        <v>919</v>
      </c>
      <c r="M97" s="7"/>
      <c r="N97" s="14" t="s">
        <v>920</v>
      </c>
      <c r="O97" s="14" t="s">
        <v>74</v>
      </c>
      <c r="P97" s="14" t="s">
        <v>74</v>
      </c>
      <c r="Q97" s="14" t="s">
        <v>74</v>
      </c>
      <c r="R97" s="14" t="s">
        <v>74</v>
      </c>
      <c r="S97" s="14" t="s">
        <v>921</v>
      </c>
      <c r="T97" s="14" t="s">
        <v>922</v>
      </c>
      <c r="U97" s="14" t="s">
        <v>923</v>
      </c>
      <c r="V97" s="7"/>
      <c r="W97" s="7"/>
      <c r="X97" s="15" t="s">
        <v>924</v>
      </c>
      <c r="Y97" s="14" t="s">
        <v>925</v>
      </c>
      <c r="Z97" s="14"/>
    </row>
    <row r="98" customFormat="false" ht="45" hidden="false" customHeight="true" outlineLevel="0" collapsed="false">
      <c r="A98" s="14" t="n">
        <v>97</v>
      </c>
      <c r="B98" s="14" t="s">
        <v>64</v>
      </c>
      <c r="C98" s="14" t="s">
        <v>489</v>
      </c>
      <c r="D98" s="14"/>
      <c r="E98" s="6" t="s">
        <v>712</v>
      </c>
      <c r="F98" s="5" t="s">
        <v>491</v>
      </c>
      <c r="G98" s="14" t="s">
        <v>926</v>
      </c>
      <c r="H98" s="14" t="s">
        <v>927</v>
      </c>
      <c r="I98" s="14" t="n">
        <v>2016</v>
      </c>
      <c r="J98" s="5" t="s">
        <v>70</v>
      </c>
      <c r="K98" s="6" t="s">
        <v>71</v>
      </c>
      <c r="L98" s="14" t="s">
        <v>928</v>
      </c>
      <c r="M98" s="7"/>
      <c r="N98" s="14" t="s">
        <v>929</v>
      </c>
      <c r="O98" s="14" t="s">
        <v>74</v>
      </c>
      <c r="P98" s="14" t="s">
        <v>74</v>
      </c>
      <c r="Q98" s="14" t="s">
        <v>74</v>
      </c>
      <c r="R98" s="14" t="s">
        <v>74</v>
      </c>
      <c r="S98" s="14" t="s">
        <v>930</v>
      </c>
      <c r="T98" s="14" t="s">
        <v>931</v>
      </c>
      <c r="U98" s="14" t="s">
        <v>932</v>
      </c>
      <c r="V98" s="7"/>
      <c r="W98" s="7"/>
      <c r="X98" s="15" t="s">
        <v>933</v>
      </c>
      <c r="Y98" s="14" t="s">
        <v>243</v>
      </c>
      <c r="Z98" s="14"/>
    </row>
    <row r="99" customFormat="false" ht="45" hidden="false" customHeight="true" outlineLevel="0" collapsed="false">
      <c r="A99" s="14" t="n">
        <v>98</v>
      </c>
      <c r="B99" s="14" t="s">
        <v>64</v>
      </c>
      <c r="C99" s="14" t="s">
        <v>489</v>
      </c>
      <c r="D99" s="14"/>
      <c r="E99" s="6" t="s">
        <v>523</v>
      </c>
      <c r="F99" s="5" t="s">
        <v>524</v>
      </c>
      <c r="G99" s="14" t="s">
        <v>934</v>
      </c>
      <c r="H99" s="14" t="s">
        <v>677</v>
      </c>
      <c r="I99" s="14" t="n">
        <v>2022</v>
      </c>
      <c r="J99" s="5" t="s">
        <v>70</v>
      </c>
      <c r="K99" s="6" t="s">
        <v>71</v>
      </c>
      <c r="L99" s="14" t="s">
        <v>935</v>
      </c>
      <c r="M99" s="7"/>
      <c r="N99" s="14" t="s">
        <v>936</v>
      </c>
      <c r="O99" s="14" t="s">
        <v>74</v>
      </c>
      <c r="P99" s="14" t="s">
        <v>74</v>
      </c>
      <c r="Q99" s="14" t="s">
        <v>74</v>
      </c>
      <c r="R99" s="14" t="s">
        <v>74</v>
      </c>
      <c r="S99" s="14" t="s">
        <v>74</v>
      </c>
      <c r="T99" s="14" t="s">
        <v>74</v>
      </c>
      <c r="U99" s="14" t="s">
        <v>937</v>
      </c>
      <c r="V99" s="7"/>
      <c r="W99" s="7"/>
      <c r="X99" s="15" t="s">
        <v>938</v>
      </c>
      <c r="Y99" s="14" t="s">
        <v>542</v>
      </c>
      <c r="Z99" s="14"/>
    </row>
    <row r="100" customFormat="false" ht="45" hidden="false" customHeight="true" outlineLevel="0" collapsed="false">
      <c r="A100" s="14" t="n">
        <v>99</v>
      </c>
      <c r="B100" s="14" t="s">
        <v>64</v>
      </c>
      <c r="C100" s="14" t="s">
        <v>65</v>
      </c>
      <c r="D100" s="14" t="s">
        <v>939</v>
      </c>
      <c r="E100" s="6" t="s">
        <v>161</v>
      </c>
      <c r="F100" s="14" t="s">
        <v>940</v>
      </c>
      <c r="G100" s="14" t="s">
        <v>941</v>
      </c>
      <c r="H100" s="5" t="s">
        <v>942</v>
      </c>
      <c r="I100" s="14" t="n">
        <v>2022</v>
      </c>
      <c r="J100" s="5" t="s">
        <v>943</v>
      </c>
      <c r="K100" s="6" t="s">
        <v>944</v>
      </c>
      <c r="L100" s="14" t="s">
        <v>945</v>
      </c>
      <c r="M100" s="7"/>
      <c r="N100" s="14" t="s">
        <v>946</v>
      </c>
      <c r="O100" s="14" t="s">
        <v>74</v>
      </c>
      <c r="P100" s="14" t="s">
        <v>74</v>
      </c>
      <c r="Q100" s="14" t="s">
        <v>74</v>
      </c>
      <c r="R100" s="14" t="s">
        <v>74</v>
      </c>
      <c r="S100" s="14" t="s">
        <v>947</v>
      </c>
      <c r="T100" s="14" t="s">
        <v>948</v>
      </c>
      <c r="U100" s="14" t="s">
        <v>949</v>
      </c>
      <c r="V100" s="7"/>
      <c r="W100" s="7"/>
      <c r="X100" s="15" t="s">
        <v>950</v>
      </c>
      <c r="Y100" s="14"/>
      <c r="Z100" s="14"/>
    </row>
    <row r="101" customFormat="false" ht="45" hidden="false" customHeight="true" outlineLevel="0" collapsed="false">
      <c r="A101" s="14" t="n">
        <v>100</v>
      </c>
      <c r="B101" s="14" t="s">
        <v>64</v>
      </c>
      <c r="C101" s="14" t="s">
        <v>65</v>
      </c>
      <c r="D101" s="14" t="s">
        <v>951</v>
      </c>
      <c r="E101" s="14" t="s">
        <v>951</v>
      </c>
      <c r="F101" s="14" t="s">
        <v>940</v>
      </c>
      <c r="G101" s="14" t="s">
        <v>952</v>
      </c>
      <c r="H101" s="5" t="s">
        <v>953</v>
      </c>
      <c r="I101" s="14" t="n">
        <v>2016</v>
      </c>
      <c r="J101" s="5" t="s">
        <v>954</v>
      </c>
      <c r="K101" s="6" t="s">
        <v>944</v>
      </c>
      <c r="L101" s="14" t="s">
        <v>955</v>
      </c>
      <c r="M101" s="7"/>
      <c r="N101" s="14" t="s">
        <v>956</v>
      </c>
      <c r="O101" s="14" t="s">
        <v>74</v>
      </c>
      <c r="P101" s="14" t="s">
        <v>74</v>
      </c>
      <c r="Q101" s="14" t="s">
        <v>74</v>
      </c>
      <c r="R101" s="14" t="s">
        <v>74</v>
      </c>
      <c r="S101" s="14" t="s">
        <v>957</v>
      </c>
      <c r="T101" s="14" t="s">
        <v>434</v>
      </c>
      <c r="U101" s="14" t="s">
        <v>958</v>
      </c>
      <c r="V101" s="7"/>
      <c r="W101" s="7"/>
      <c r="X101" s="15" t="s">
        <v>959</v>
      </c>
      <c r="Y101" s="14"/>
      <c r="Z101" s="14"/>
    </row>
    <row r="102" customFormat="false" ht="45" hidden="false" customHeight="true" outlineLevel="0" collapsed="false">
      <c r="A102" s="14" t="n">
        <v>101</v>
      </c>
      <c r="B102" s="14" t="s">
        <v>64</v>
      </c>
      <c r="C102" s="14" t="s">
        <v>65</v>
      </c>
      <c r="D102" s="14" t="s">
        <v>951</v>
      </c>
      <c r="E102" s="14" t="s">
        <v>951</v>
      </c>
      <c r="F102" s="14" t="s">
        <v>940</v>
      </c>
      <c r="G102" s="14" t="s">
        <v>960</v>
      </c>
      <c r="H102" s="5" t="s">
        <v>961</v>
      </c>
      <c r="I102" s="14" t="n">
        <v>2024</v>
      </c>
      <c r="J102" s="5" t="s">
        <v>962</v>
      </c>
      <c r="K102" s="6" t="s">
        <v>963</v>
      </c>
      <c r="L102" s="14" t="s">
        <v>964</v>
      </c>
      <c r="M102" s="7"/>
      <c r="N102" s="14" t="s">
        <v>965</v>
      </c>
      <c r="O102" s="14" t="s">
        <v>74</v>
      </c>
      <c r="P102" s="14" t="s">
        <v>74</v>
      </c>
      <c r="Q102" s="14" t="s">
        <v>74</v>
      </c>
      <c r="R102" s="14" t="s">
        <v>74</v>
      </c>
      <c r="S102" s="14" t="s">
        <v>966</v>
      </c>
      <c r="T102" s="14" t="s">
        <v>967</v>
      </c>
      <c r="U102" s="14" t="s">
        <v>968</v>
      </c>
      <c r="V102" s="7"/>
      <c r="W102" s="7"/>
      <c r="X102" s="15" t="s">
        <v>969</v>
      </c>
      <c r="Y102" s="14"/>
      <c r="Z102" s="14"/>
    </row>
    <row r="103" customFormat="false" ht="45" hidden="false" customHeight="true" outlineLevel="0" collapsed="false">
      <c r="A103" s="14" t="n">
        <v>102</v>
      </c>
      <c r="B103" s="14" t="s">
        <v>64</v>
      </c>
      <c r="C103" s="14" t="s">
        <v>65</v>
      </c>
      <c r="D103" s="14" t="s">
        <v>951</v>
      </c>
      <c r="E103" s="14" t="s">
        <v>951</v>
      </c>
      <c r="F103" s="14" t="s">
        <v>940</v>
      </c>
      <c r="G103" s="14" t="s">
        <v>970</v>
      </c>
      <c r="H103" s="5" t="s">
        <v>971</v>
      </c>
      <c r="I103" s="14" t="n">
        <v>2019</v>
      </c>
      <c r="J103" s="5" t="s">
        <v>972</v>
      </c>
      <c r="K103" s="6" t="s">
        <v>944</v>
      </c>
      <c r="L103" s="14" t="s">
        <v>973</v>
      </c>
      <c r="M103" s="7"/>
      <c r="N103" s="14" t="s">
        <v>974</v>
      </c>
      <c r="O103" s="14" t="s">
        <v>74</v>
      </c>
      <c r="P103" s="14" t="s">
        <v>74</v>
      </c>
      <c r="Q103" s="14" t="s">
        <v>74</v>
      </c>
      <c r="R103" s="14" t="s">
        <v>74</v>
      </c>
      <c r="S103" s="14" t="s">
        <v>975</v>
      </c>
      <c r="T103" s="14" t="s">
        <v>976</v>
      </c>
      <c r="U103" s="14" t="s">
        <v>977</v>
      </c>
      <c r="V103" s="7"/>
      <c r="W103" s="7"/>
      <c r="X103" s="15" t="s">
        <v>978</v>
      </c>
      <c r="Y103" s="14"/>
      <c r="Z103" s="14"/>
    </row>
    <row r="104" customFormat="false" ht="45" hidden="false" customHeight="true" outlineLevel="0" collapsed="false">
      <c r="A104" s="14" t="n">
        <v>103</v>
      </c>
      <c r="B104" s="14" t="s">
        <v>64</v>
      </c>
      <c r="C104" s="14" t="s">
        <v>65</v>
      </c>
      <c r="D104" s="14" t="s">
        <v>951</v>
      </c>
      <c r="E104" s="14" t="s">
        <v>951</v>
      </c>
      <c r="F104" s="14" t="s">
        <v>940</v>
      </c>
      <c r="G104" s="14" t="s">
        <v>979</v>
      </c>
      <c r="H104" s="5" t="s">
        <v>980</v>
      </c>
      <c r="I104" s="14" t="n">
        <v>2022</v>
      </c>
      <c r="J104" s="14" t="s">
        <v>981</v>
      </c>
      <c r="K104" s="6" t="s">
        <v>944</v>
      </c>
      <c r="L104" s="14" t="s">
        <v>982</v>
      </c>
      <c r="M104" s="7"/>
      <c r="N104" s="14" t="s">
        <v>983</v>
      </c>
      <c r="O104" s="14" t="s">
        <v>74</v>
      </c>
      <c r="P104" s="14" t="s">
        <v>74</v>
      </c>
      <c r="Q104" s="14" t="s">
        <v>74</v>
      </c>
      <c r="R104" s="14" t="s">
        <v>74</v>
      </c>
      <c r="S104" s="14" t="s">
        <v>984</v>
      </c>
      <c r="T104" s="14" t="s">
        <v>976</v>
      </c>
      <c r="U104" s="14" t="s">
        <v>985</v>
      </c>
      <c r="V104" s="7"/>
      <c r="W104" s="7"/>
      <c r="X104" s="15" t="s">
        <v>986</v>
      </c>
      <c r="Y104" s="14"/>
      <c r="Z104" s="14"/>
    </row>
    <row r="105" customFormat="false" ht="45" hidden="false" customHeight="true" outlineLevel="0" collapsed="false">
      <c r="A105" s="14" t="n">
        <v>104</v>
      </c>
      <c r="B105" s="14" t="s">
        <v>64</v>
      </c>
      <c r="C105" s="14" t="s">
        <v>65</v>
      </c>
      <c r="D105" s="14" t="s">
        <v>66</v>
      </c>
      <c r="E105" s="14" t="s">
        <v>66</v>
      </c>
      <c r="F105" s="14" t="s">
        <v>940</v>
      </c>
      <c r="G105" s="14" t="s">
        <v>987</v>
      </c>
      <c r="H105" s="5" t="s">
        <v>988</v>
      </c>
      <c r="I105" s="14" t="n">
        <v>1992</v>
      </c>
      <c r="J105" s="14"/>
      <c r="K105" s="6" t="s">
        <v>989</v>
      </c>
      <c r="L105" s="14" t="s">
        <v>990</v>
      </c>
      <c r="M105" s="7"/>
      <c r="N105" s="14" t="s">
        <v>991</v>
      </c>
      <c r="O105" s="14" t="s">
        <v>74</v>
      </c>
      <c r="P105" s="14" t="s">
        <v>74</v>
      </c>
      <c r="Q105" s="14" t="s">
        <v>74</v>
      </c>
      <c r="R105" s="14" t="s">
        <v>74</v>
      </c>
      <c r="S105" s="14" t="s">
        <v>992</v>
      </c>
      <c r="T105" s="14" t="s">
        <v>993</v>
      </c>
      <c r="U105" s="14" t="s">
        <v>994</v>
      </c>
      <c r="V105" s="7"/>
      <c r="W105" s="7"/>
      <c r="X105" s="15" t="s">
        <v>995</v>
      </c>
      <c r="Y105" s="14"/>
      <c r="Z105" s="14" t="s">
        <v>996</v>
      </c>
    </row>
    <row r="106" customFormat="false" ht="45" hidden="false" customHeight="true" outlineLevel="0" collapsed="false">
      <c r="A106" s="14" t="n">
        <v>105</v>
      </c>
      <c r="B106" s="14" t="s">
        <v>64</v>
      </c>
      <c r="C106" s="14" t="s">
        <v>65</v>
      </c>
      <c r="D106" s="14" t="s">
        <v>66</v>
      </c>
      <c r="E106" s="14" t="s">
        <v>66</v>
      </c>
      <c r="F106" s="14" t="s">
        <v>940</v>
      </c>
      <c r="G106" s="14" t="s">
        <v>997</v>
      </c>
      <c r="H106" s="5" t="s">
        <v>998</v>
      </c>
      <c r="I106" s="14" t="n">
        <v>2014</v>
      </c>
      <c r="J106" s="5" t="s">
        <v>999</v>
      </c>
      <c r="K106" s="6" t="s">
        <v>944</v>
      </c>
      <c r="L106" s="14" t="s">
        <v>1000</v>
      </c>
      <c r="M106" s="7"/>
      <c r="N106" s="14" t="s">
        <v>1001</v>
      </c>
      <c r="O106" s="14" t="s">
        <v>74</v>
      </c>
      <c r="P106" s="14" t="s">
        <v>74</v>
      </c>
      <c r="Q106" s="14" t="s">
        <v>74</v>
      </c>
      <c r="R106" s="14" t="s">
        <v>74</v>
      </c>
      <c r="S106" s="14" t="s">
        <v>1002</v>
      </c>
      <c r="T106" s="14" t="s">
        <v>196</v>
      </c>
      <c r="U106" s="14" t="s">
        <v>1003</v>
      </c>
      <c r="V106" s="7"/>
      <c r="W106" s="7"/>
      <c r="X106" s="15" t="s">
        <v>1004</v>
      </c>
      <c r="Y106" s="14"/>
      <c r="Z106" s="14"/>
    </row>
    <row r="107" customFormat="false" ht="45" hidden="false" customHeight="true" outlineLevel="0" collapsed="false">
      <c r="A107" s="14" t="n">
        <v>106</v>
      </c>
      <c r="B107" s="14" t="s">
        <v>64</v>
      </c>
      <c r="C107" s="14" t="s">
        <v>65</v>
      </c>
      <c r="D107" s="14" t="s">
        <v>66</v>
      </c>
      <c r="E107" s="14" t="s">
        <v>66</v>
      </c>
      <c r="F107" s="14" t="s">
        <v>940</v>
      </c>
      <c r="G107" s="14" t="s">
        <v>1005</v>
      </c>
      <c r="H107" s="5" t="s">
        <v>1006</v>
      </c>
      <c r="I107" s="14" t="n">
        <v>1991</v>
      </c>
      <c r="J107" s="14"/>
      <c r="K107" s="6" t="s">
        <v>989</v>
      </c>
      <c r="L107" s="14" t="s">
        <v>1007</v>
      </c>
      <c r="M107" s="7"/>
      <c r="N107" s="14" t="s">
        <v>1008</v>
      </c>
      <c r="O107" s="14" t="s">
        <v>74</v>
      </c>
      <c r="P107" s="14" t="s">
        <v>74</v>
      </c>
      <c r="Q107" s="14" t="s">
        <v>74</v>
      </c>
      <c r="R107" s="14" t="s">
        <v>74</v>
      </c>
      <c r="S107" s="14" t="s">
        <v>1009</v>
      </c>
      <c r="T107" s="14" t="s">
        <v>434</v>
      </c>
      <c r="U107" s="14" t="s">
        <v>1010</v>
      </c>
      <c r="V107" s="7"/>
      <c r="W107" s="7"/>
      <c r="X107" s="15" t="s">
        <v>1011</v>
      </c>
      <c r="Y107" s="14"/>
      <c r="Z107" s="14" t="s">
        <v>996</v>
      </c>
    </row>
    <row r="108" customFormat="false" ht="45" hidden="false" customHeight="true" outlineLevel="0" collapsed="false">
      <c r="A108" s="14" t="n">
        <v>107</v>
      </c>
      <c r="B108" s="14" t="s">
        <v>64</v>
      </c>
      <c r="C108" s="14" t="s">
        <v>65</v>
      </c>
      <c r="D108" s="14" t="s">
        <v>66</v>
      </c>
      <c r="E108" s="14" t="s">
        <v>66</v>
      </c>
      <c r="F108" s="14" t="s">
        <v>940</v>
      </c>
      <c r="G108" s="14" t="s">
        <v>1012</v>
      </c>
      <c r="H108" s="14" t="s">
        <v>1013</v>
      </c>
      <c r="I108" s="14" t="n">
        <v>2013</v>
      </c>
      <c r="J108" s="5" t="s">
        <v>1014</v>
      </c>
      <c r="K108" s="6" t="s">
        <v>944</v>
      </c>
      <c r="L108" s="14" t="s">
        <v>1015</v>
      </c>
      <c r="M108" s="7"/>
      <c r="N108" s="14" t="s">
        <v>1016</v>
      </c>
      <c r="O108" s="14" t="s">
        <v>74</v>
      </c>
      <c r="P108" s="14" t="s">
        <v>74</v>
      </c>
      <c r="Q108" s="14" t="s">
        <v>74</v>
      </c>
      <c r="R108" s="14" t="s">
        <v>74</v>
      </c>
      <c r="S108" s="14" t="s">
        <v>1017</v>
      </c>
      <c r="T108" s="14" t="s">
        <v>434</v>
      </c>
      <c r="U108" s="14" t="s">
        <v>1018</v>
      </c>
      <c r="V108" s="7"/>
      <c r="W108" s="7"/>
      <c r="X108" s="15" t="s">
        <v>1019</v>
      </c>
      <c r="Y108" s="14"/>
      <c r="Z108" s="14"/>
    </row>
    <row r="109" customFormat="false" ht="45" hidden="false" customHeight="true" outlineLevel="0" collapsed="false">
      <c r="A109" s="14" t="n">
        <v>108</v>
      </c>
      <c r="B109" s="14" t="s">
        <v>64</v>
      </c>
      <c r="C109" s="14" t="s">
        <v>65</v>
      </c>
      <c r="D109" s="14" t="s">
        <v>94</v>
      </c>
      <c r="E109" s="6" t="s">
        <v>95</v>
      </c>
      <c r="F109" s="14" t="s">
        <v>940</v>
      </c>
      <c r="G109" s="14" t="s">
        <v>1020</v>
      </c>
      <c r="H109" s="5" t="s">
        <v>1021</v>
      </c>
      <c r="I109" s="14" t="n">
        <v>2012</v>
      </c>
      <c r="J109" s="5" t="s">
        <v>1022</v>
      </c>
      <c r="K109" s="6" t="s">
        <v>944</v>
      </c>
      <c r="L109" s="14" t="s">
        <v>1023</v>
      </c>
      <c r="M109" s="7"/>
      <c r="N109" s="14" t="s">
        <v>1024</v>
      </c>
      <c r="O109" s="14" t="s">
        <v>74</v>
      </c>
      <c r="P109" s="14" t="s">
        <v>74</v>
      </c>
      <c r="Q109" s="14" t="s">
        <v>74</v>
      </c>
      <c r="R109" s="14" t="s">
        <v>74</v>
      </c>
      <c r="S109" s="14" t="s">
        <v>1025</v>
      </c>
      <c r="T109" s="14" t="s">
        <v>434</v>
      </c>
      <c r="U109" s="14" t="s">
        <v>1026</v>
      </c>
      <c r="V109" s="7"/>
      <c r="W109" s="7"/>
      <c r="X109" s="15" t="s">
        <v>1027</v>
      </c>
      <c r="Y109" s="14"/>
      <c r="Z109" s="14"/>
    </row>
    <row r="110" customFormat="false" ht="45" hidden="false" customHeight="true" outlineLevel="0" collapsed="false">
      <c r="A110" s="14" t="n">
        <v>109</v>
      </c>
      <c r="B110" s="14" t="s">
        <v>64</v>
      </c>
      <c r="C110" s="14" t="s">
        <v>65</v>
      </c>
      <c r="D110" s="14" t="s">
        <v>94</v>
      </c>
      <c r="E110" s="6" t="s">
        <v>95</v>
      </c>
      <c r="F110" s="14" t="s">
        <v>940</v>
      </c>
      <c r="G110" s="14" t="s">
        <v>1028</v>
      </c>
      <c r="H110" s="5" t="s">
        <v>1029</v>
      </c>
      <c r="I110" s="14" t="n">
        <v>2018</v>
      </c>
      <c r="J110" s="5" t="s">
        <v>1030</v>
      </c>
      <c r="K110" s="6" t="s">
        <v>944</v>
      </c>
      <c r="L110" s="14" t="s">
        <v>1031</v>
      </c>
      <c r="M110" s="7"/>
      <c r="N110" s="14" t="s">
        <v>1032</v>
      </c>
      <c r="O110" s="14" t="s">
        <v>74</v>
      </c>
      <c r="P110" s="14" t="s">
        <v>74</v>
      </c>
      <c r="Q110" s="14" t="s">
        <v>74</v>
      </c>
      <c r="R110" s="14" t="s">
        <v>74</v>
      </c>
      <c r="S110" s="14" t="s">
        <v>1033</v>
      </c>
      <c r="T110" s="14" t="s">
        <v>434</v>
      </c>
      <c r="U110" s="14" t="s">
        <v>1034</v>
      </c>
      <c r="V110" s="7"/>
      <c r="W110" s="7"/>
      <c r="X110" s="15" t="s">
        <v>1035</v>
      </c>
      <c r="Y110" s="14"/>
      <c r="Z110" s="14"/>
    </row>
    <row r="111" customFormat="false" ht="45" hidden="false" customHeight="true" outlineLevel="0" collapsed="false">
      <c r="A111" s="14" t="n">
        <v>110</v>
      </c>
      <c r="B111" s="14" t="s">
        <v>64</v>
      </c>
      <c r="C111" s="14" t="s">
        <v>65</v>
      </c>
      <c r="D111" s="14" t="s">
        <v>94</v>
      </c>
      <c r="E111" s="6" t="s">
        <v>95</v>
      </c>
      <c r="F111" s="14" t="s">
        <v>940</v>
      </c>
      <c r="G111" s="14" t="s">
        <v>1036</v>
      </c>
      <c r="H111" s="5" t="s">
        <v>1037</v>
      </c>
      <c r="I111" s="14" t="n">
        <v>2015</v>
      </c>
      <c r="J111" s="5" t="s">
        <v>1038</v>
      </c>
      <c r="K111" s="6" t="s">
        <v>944</v>
      </c>
      <c r="L111" s="14" t="s">
        <v>1039</v>
      </c>
      <c r="M111" s="7"/>
      <c r="N111" s="14" t="s">
        <v>1040</v>
      </c>
      <c r="O111" s="14" t="s">
        <v>74</v>
      </c>
      <c r="P111" s="14" t="s">
        <v>74</v>
      </c>
      <c r="Q111" s="14" t="s">
        <v>74</v>
      </c>
      <c r="R111" s="14" t="s">
        <v>74</v>
      </c>
      <c r="S111" s="14" t="s">
        <v>1041</v>
      </c>
      <c r="T111" s="14" t="s">
        <v>1042</v>
      </c>
      <c r="U111" s="14" t="s">
        <v>1043</v>
      </c>
      <c r="V111" s="7"/>
      <c r="W111" s="7"/>
      <c r="X111" s="15" t="s">
        <v>1044</v>
      </c>
      <c r="Y111" s="14"/>
      <c r="Z111" s="14"/>
    </row>
    <row r="112" customFormat="false" ht="45" hidden="false" customHeight="true" outlineLevel="0" collapsed="false">
      <c r="A112" s="14" t="n">
        <v>111</v>
      </c>
      <c r="B112" s="14" t="s">
        <v>64</v>
      </c>
      <c r="C112" s="14" t="s">
        <v>65</v>
      </c>
      <c r="D112" s="14" t="s">
        <v>1045</v>
      </c>
      <c r="E112" s="6" t="s">
        <v>161</v>
      </c>
      <c r="F112" s="14" t="s">
        <v>80</v>
      </c>
      <c r="G112" s="14" t="s">
        <v>1046</v>
      </c>
      <c r="H112" s="5" t="s">
        <v>1047</v>
      </c>
      <c r="I112" s="14" t="n">
        <v>2018</v>
      </c>
      <c r="J112" s="14" t="s">
        <v>1048</v>
      </c>
      <c r="K112" s="6" t="s">
        <v>944</v>
      </c>
      <c r="L112" s="14" t="s">
        <v>1049</v>
      </c>
      <c r="M112" s="7"/>
      <c r="N112" s="14" t="s">
        <v>1050</v>
      </c>
      <c r="O112" s="14" t="s">
        <v>1051</v>
      </c>
      <c r="P112" s="14" t="s">
        <v>1052</v>
      </c>
      <c r="Q112" s="14" t="s">
        <v>1053</v>
      </c>
      <c r="R112" s="5" t="s">
        <v>88</v>
      </c>
      <c r="S112" s="14" t="s">
        <v>1054</v>
      </c>
      <c r="T112" s="14" t="s">
        <v>1055</v>
      </c>
      <c r="U112" s="14" t="s">
        <v>1056</v>
      </c>
      <c r="V112" s="7"/>
      <c r="W112" s="7"/>
      <c r="X112" s="15" t="s">
        <v>1057</v>
      </c>
      <c r="Y112" s="14"/>
      <c r="Z112" s="14"/>
    </row>
    <row r="113" customFormat="false" ht="45" hidden="false" customHeight="true" outlineLevel="0" collapsed="false">
      <c r="A113" s="14" t="n">
        <v>112</v>
      </c>
      <c r="B113" s="14" t="s">
        <v>64</v>
      </c>
      <c r="C113" s="14" t="s">
        <v>65</v>
      </c>
      <c r="D113" s="14" t="s">
        <v>94</v>
      </c>
      <c r="E113" s="6" t="s">
        <v>95</v>
      </c>
      <c r="F113" s="14" t="s">
        <v>80</v>
      </c>
      <c r="G113" s="14" t="s">
        <v>1058</v>
      </c>
      <c r="H113" s="5" t="s">
        <v>1059</v>
      </c>
      <c r="I113" s="14" t="n">
        <v>2024</v>
      </c>
      <c r="J113" s="14" t="s">
        <v>943</v>
      </c>
      <c r="K113" s="6" t="s">
        <v>944</v>
      </c>
      <c r="L113" s="14" t="s">
        <v>1060</v>
      </c>
      <c r="M113" s="7"/>
      <c r="N113" s="14" t="s">
        <v>1061</v>
      </c>
      <c r="O113" s="14" t="s">
        <v>1062</v>
      </c>
      <c r="P113" s="14"/>
      <c r="Q113" s="14" t="s">
        <v>1063</v>
      </c>
      <c r="R113" s="14"/>
      <c r="S113" s="14" t="s">
        <v>1064</v>
      </c>
      <c r="T113" s="14" t="s">
        <v>1065</v>
      </c>
      <c r="U113" s="14" t="s">
        <v>1066</v>
      </c>
      <c r="V113" s="7"/>
      <c r="W113" s="7"/>
      <c r="X113" s="15" t="s">
        <v>1067</v>
      </c>
      <c r="Y113" s="14"/>
      <c r="Z113" s="14" t="s">
        <v>1068</v>
      </c>
    </row>
    <row r="114" customFormat="false" ht="45" hidden="false" customHeight="true" outlineLevel="0" collapsed="false">
      <c r="A114" s="14" t="n">
        <v>113</v>
      </c>
      <c r="B114" s="14" t="s">
        <v>64</v>
      </c>
      <c r="C114" s="14" t="s">
        <v>65</v>
      </c>
      <c r="D114" s="14" t="s">
        <v>1069</v>
      </c>
      <c r="E114" s="6" t="s">
        <v>150</v>
      </c>
      <c r="F114" s="14" t="s">
        <v>80</v>
      </c>
      <c r="G114" s="14" t="s">
        <v>1070</v>
      </c>
      <c r="H114" s="5" t="s">
        <v>1071</v>
      </c>
      <c r="I114" s="14" t="n">
        <v>2024</v>
      </c>
      <c r="J114" s="14"/>
      <c r="K114" s="6" t="s">
        <v>989</v>
      </c>
      <c r="L114" s="14" t="s">
        <v>1072</v>
      </c>
      <c r="M114" s="7"/>
      <c r="N114" s="14" t="s">
        <v>1072</v>
      </c>
      <c r="O114" s="14" t="s">
        <v>1073</v>
      </c>
      <c r="P114" s="14" t="s">
        <v>1074</v>
      </c>
      <c r="Q114" s="14" t="s">
        <v>1075</v>
      </c>
      <c r="R114" s="14" t="s">
        <v>88</v>
      </c>
      <c r="S114" s="14" t="s">
        <v>1076</v>
      </c>
      <c r="T114" s="14" t="s">
        <v>1077</v>
      </c>
      <c r="U114" s="14" t="s">
        <v>1078</v>
      </c>
      <c r="V114" s="7"/>
      <c r="W114" s="7"/>
      <c r="X114" s="15" t="s">
        <v>1079</v>
      </c>
      <c r="Y114" s="14"/>
      <c r="Z114" s="14" t="s">
        <v>996</v>
      </c>
    </row>
    <row r="115" customFormat="false" ht="45" hidden="false" customHeight="true" outlineLevel="0" collapsed="false">
      <c r="A115" s="14" t="n">
        <v>114</v>
      </c>
      <c r="B115" s="14" t="s">
        <v>64</v>
      </c>
      <c r="C115" s="14" t="s">
        <v>65</v>
      </c>
      <c r="D115" s="14" t="s">
        <v>94</v>
      </c>
      <c r="E115" s="6" t="s">
        <v>95</v>
      </c>
      <c r="F115" s="14" t="s">
        <v>80</v>
      </c>
      <c r="G115" s="14" t="s">
        <v>1080</v>
      </c>
      <c r="H115" s="5" t="s">
        <v>1081</v>
      </c>
      <c r="I115" s="14" t="n">
        <v>2024</v>
      </c>
      <c r="J115" s="14"/>
      <c r="K115" s="6" t="s">
        <v>989</v>
      </c>
      <c r="L115" s="14" t="s">
        <v>1082</v>
      </c>
      <c r="M115" s="7"/>
      <c r="N115" s="14" t="s">
        <v>1083</v>
      </c>
      <c r="O115" s="14" t="s">
        <v>1084</v>
      </c>
      <c r="P115" s="14" t="s">
        <v>1085</v>
      </c>
      <c r="Q115" s="14" t="s">
        <v>1086</v>
      </c>
      <c r="R115" s="14"/>
      <c r="S115" s="14" t="s">
        <v>1087</v>
      </c>
      <c r="T115" s="14" t="s">
        <v>1088</v>
      </c>
      <c r="U115" s="14" t="s">
        <v>1089</v>
      </c>
      <c r="V115" s="7"/>
      <c r="W115" s="7"/>
      <c r="X115" s="15" t="s">
        <v>1090</v>
      </c>
      <c r="Y115" s="14"/>
      <c r="Z115" s="14" t="s">
        <v>1091</v>
      </c>
    </row>
    <row r="116" customFormat="false" ht="45" hidden="false" customHeight="true" outlineLevel="0" collapsed="false">
      <c r="A116" s="14" t="n">
        <v>115</v>
      </c>
      <c r="B116" s="14" t="s">
        <v>64</v>
      </c>
      <c r="C116" s="14" t="s">
        <v>65</v>
      </c>
      <c r="D116" s="14" t="s">
        <v>1092</v>
      </c>
      <c r="E116" s="6" t="s">
        <v>552</v>
      </c>
      <c r="F116" s="14" t="s">
        <v>80</v>
      </c>
      <c r="G116" s="14" t="s">
        <v>1093</v>
      </c>
      <c r="H116" s="5" t="s">
        <v>1094</v>
      </c>
      <c r="I116" s="14" t="n">
        <v>2024</v>
      </c>
      <c r="J116" s="14" t="s">
        <v>1095</v>
      </c>
      <c r="K116" s="6" t="s">
        <v>944</v>
      </c>
      <c r="L116" s="14" t="s">
        <v>1096</v>
      </c>
      <c r="M116" s="7"/>
      <c r="N116" s="14" t="s">
        <v>1097</v>
      </c>
      <c r="O116" s="14" t="s">
        <v>1098</v>
      </c>
      <c r="P116" s="14" t="s">
        <v>1099</v>
      </c>
      <c r="Q116" s="14" t="s">
        <v>1100</v>
      </c>
      <c r="R116" s="14"/>
      <c r="S116" s="14" t="s">
        <v>1101</v>
      </c>
      <c r="T116" s="14" t="s">
        <v>1102</v>
      </c>
      <c r="U116" s="14" t="s">
        <v>1103</v>
      </c>
      <c r="V116" s="7"/>
      <c r="W116" s="7"/>
      <c r="X116" s="15" t="s">
        <v>1104</v>
      </c>
      <c r="Y116" s="14"/>
      <c r="Z116" s="14" t="s">
        <v>1105</v>
      </c>
    </row>
    <row r="117" customFormat="false" ht="45" hidden="false" customHeight="true" outlineLevel="0" collapsed="false">
      <c r="A117" s="14" t="n">
        <v>116</v>
      </c>
      <c r="B117" s="14" t="s">
        <v>64</v>
      </c>
      <c r="C117" s="14" t="s">
        <v>65</v>
      </c>
      <c r="D117" s="14" t="s">
        <v>66</v>
      </c>
      <c r="E117" s="14" t="s">
        <v>66</v>
      </c>
      <c r="F117" s="14" t="s">
        <v>80</v>
      </c>
      <c r="G117" s="14" t="s">
        <v>1106</v>
      </c>
      <c r="H117" s="5" t="s">
        <v>1107</v>
      </c>
      <c r="I117" s="14" t="n">
        <v>2023</v>
      </c>
      <c r="J117" s="14" t="s">
        <v>1108</v>
      </c>
      <c r="K117" s="6" t="s">
        <v>944</v>
      </c>
      <c r="L117" s="14" t="s">
        <v>1109</v>
      </c>
      <c r="M117" s="7"/>
      <c r="N117" s="14" t="s">
        <v>1110</v>
      </c>
      <c r="O117" s="14" t="s">
        <v>1111</v>
      </c>
      <c r="P117" s="14" t="s">
        <v>1112</v>
      </c>
      <c r="Q117" s="14" t="s">
        <v>1113</v>
      </c>
      <c r="R117" s="14"/>
      <c r="S117" s="14" t="s">
        <v>1114</v>
      </c>
      <c r="T117" s="14" t="s">
        <v>1115</v>
      </c>
      <c r="U117" s="14" t="s">
        <v>1116</v>
      </c>
      <c r="V117" s="7"/>
      <c r="W117" s="7"/>
      <c r="X117" s="15" t="s">
        <v>1117</v>
      </c>
      <c r="Y117" s="14"/>
      <c r="Z117" s="14" t="s">
        <v>1118</v>
      </c>
    </row>
    <row r="118" customFormat="false" ht="45" hidden="false" customHeight="true" outlineLevel="0" collapsed="false">
      <c r="A118" s="14" t="n">
        <v>117</v>
      </c>
      <c r="B118" s="14" t="s">
        <v>64</v>
      </c>
      <c r="C118" s="14" t="s">
        <v>65</v>
      </c>
      <c r="D118" s="14" t="s">
        <v>66</v>
      </c>
      <c r="E118" s="14" t="s">
        <v>66</v>
      </c>
      <c r="F118" s="14" t="s">
        <v>139</v>
      </c>
      <c r="G118" s="14" t="s">
        <v>1119</v>
      </c>
      <c r="H118" s="14" t="s">
        <v>1120</v>
      </c>
      <c r="I118" s="14" t="n">
        <v>2010</v>
      </c>
      <c r="J118" s="14" t="s">
        <v>943</v>
      </c>
      <c r="K118" s="6" t="s">
        <v>944</v>
      </c>
      <c r="L118" s="14" t="s">
        <v>1121</v>
      </c>
      <c r="M118" s="7"/>
      <c r="N118" s="14" t="s">
        <v>1122</v>
      </c>
      <c r="O118" s="14" t="s">
        <v>74</v>
      </c>
      <c r="P118" s="14" t="s">
        <v>74</v>
      </c>
      <c r="Q118" s="14" t="s">
        <v>74</v>
      </c>
      <c r="R118" s="14" t="s">
        <v>74</v>
      </c>
      <c r="S118" s="14" t="s">
        <v>1123</v>
      </c>
      <c r="T118" s="14" t="s">
        <v>1124</v>
      </c>
      <c r="U118" s="14" t="s">
        <v>1125</v>
      </c>
      <c r="V118" s="7"/>
      <c r="W118" s="7"/>
      <c r="X118" s="15" t="s">
        <v>1126</v>
      </c>
      <c r="Y118" s="14"/>
      <c r="Z118" s="14"/>
    </row>
    <row r="119" customFormat="false" ht="45" hidden="false" customHeight="true" outlineLevel="0" collapsed="false">
      <c r="A119" s="14" t="n">
        <v>118</v>
      </c>
      <c r="B119" s="14" t="s">
        <v>64</v>
      </c>
      <c r="C119" s="14" t="s">
        <v>489</v>
      </c>
      <c r="D119" s="14"/>
      <c r="E119" s="6" t="s">
        <v>684</v>
      </c>
      <c r="F119" s="14" t="s">
        <v>940</v>
      </c>
      <c r="G119" s="14" t="s">
        <v>1127</v>
      </c>
      <c r="H119" s="5" t="s">
        <v>1128</v>
      </c>
      <c r="I119" s="14" t="n">
        <v>2024</v>
      </c>
      <c r="J119" s="14" t="s">
        <v>1129</v>
      </c>
      <c r="K119" s="6" t="s">
        <v>944</v>
      </c>
      <c r="L119" s="14" t="s">
        <v>1130</v>
      </c>
      <c r="M119" s="7"/>
      <c r="N119" s="14" t="s">
        <v>1131</v>
      </c>
      <c r="O119" s="14" t="s">
        <v>74</v>
      </c>
      <c r="P119" s="14" t="s">
        <v>74</v>
      </c>
      <c r="Q119" s="14" t="s">
        <v>74</v>
      </c>
      <c r="R119" s="14" t="s">
        <v>74</v>
      </c>
      <c r="S119" s="14" t="s">
        <v>1132</v>
      </c>
      <c r="T119" s="14" t="s">
        <v>1133</v>
      </c>
      <c r="U119" s="14" t="s">
        <v>1134</v>
      </c>
      <c r="V119" s="7"/>
      <c r="W119" s="7"/>
      <c r="X119" s="15" t="s">
        <v>1135</v>
      </c>
      <c r="Y119" s="14"/>
      <c r="Z119" s="14"/>
    </row>
    <row r="120" customFormat="false" ht="45" hidden="false" customHeight="true" outlineLevel="0" collapsed="false">
      <c r="A120" s="14" t="n">
        <v>119</v>
      </c>
      <c r="B120" s="14" t="s">
        <v>64</v>
      </c>
      <c r="C120" s="14" t="s">
        <v>489</v>
      </c>
      <c r="D120" s="14"/>
      <c r="E120" s="6" t="s">
        <v>712</v>
      </c>
      <c r="F120" s="14" t="s">
        <v>940</v>
      </c>
      <c r="G120" s="14" t="s">
        <v>1136</v>
      </c>
      <c r="H120" s="5" t="s">
        <v>1137</v>
      </c>
      <c r="I120" s="14" t="n">
        <v>2014</v>
      </c>
      <c r="J120" s="5" t="s">
        <v>1138</v>
      </c>
      <c r="K120" s="6" t="s">
        <v>944</v>
      </c>
      <c r="L120" s="14" t="s">
        <v>1139</v>
      </c>
      <c r="M120" s="7"/>
      <c r="N120" s="14" t="s">
        <v>1140</v>
      </c>
      <c r="O120" s="14" t="s">
        <v>74</v>
      </c>
      <c r="P120" s="14" t="s">
        <v>74</v>
      </c>
      <c r="Q120" s="14" t="s">
        <v>74</v>
      </c>
      <c r="R120" s="14" t="s">
        <v>74</v>
      </c>
      <c r="S120" s="14" t="s">
        <v>1141</v>
      </c>
      <c r="T120" s="14" t="s">
        <v>1142</v>
      </c>
      <c r="U120" s="14" t="s">
        <v>1143</v>
      </c>
      <c r="V120" s="7"/>
      <c r="W120" s="7"/>
      <c r="X120" s="15" t="s">
        <v>1144</v>
      </c>
      <c r="Y120" s="14"/>
      <c r="Z120" s="14"/>
    </row>
    <row r="121" customFormat="false" ht="45" hidden="false" customHeight="true" outlineLevel="0" collapsed="false">
      <c r="A121" s="14" t="n">
        <v>120</v>
      </c>
      <c r="B121" s="14" t="s">
        <v>64</v>
      </c>
      <c r="C121" s="14" t="s">
        <v>489</v>
      </c>
      <c r="D121" s="14"/>
      <c r="E121" s="6" t="s">
        <v>684</v>
      </c>
      <c r="F121" s="14" t="s">
        <v>940</v>
      </c>
      <c r="G121" s="14" t="s">
        <v>1145</v>
      </c>
      <c r="H121" s="14" t="s">
        <v>1146</v>
      </c>
      <c r="I121" s="14" t="n">
        <v>2010</v>
      </c>
      <c r="J121" s="5" t="s">
        <v>1147</v>
      </c>
      <c r="K121" s="6" t="s">
        <v>944</v>
      </c>
      <c r="L121" s="14" t="s">
        <v>1148</v>
      </c>
      <c r="M121" s="7"/>
      <c r="N121" s="14" t="s">
        <v>1149</v>
      </c>
      <c r="O121" s="14" t="s">
        <v>74</v>
      </c>
      <c r="P121" s="14" t="s">
        <v>74</v>
      </c>
      <c r="Q121" s="14" t="s">
        <v>74</v>
      </c>
      <c r="R121" s="14" t="s">
        <v>74</v>
      </c>
      <c r="S121" s="14" t="s">
        <v>1150</v>
      </c>
      <c r="T121" s="14" t="s">
        <v>434</v>
      </c>
      <c r="U121" s="14" t="s">
        <v>1151</v>
      </c>
      <c r="V121" s="7"/>
      <c r="W121" s="7"/>
      <c r="X121" s="15" t="s">
        <v>1152</v>
      </c>
      <c r="Y121" s="14"/>
      <c r="Z121" s="14"/>
    </row>
    <row r="122" customFormat="false" ht="45" hidden="false" customHeight="true" outlineLevel="0" collapsed="false">
      <c r="A122" s="14" t="n">
        <v>121</v>
      </c>
      <c r="B122" s="14" t="s">
        <v>64</v>
      </c>
      <c r="C122" s="14" t="s">
        <v>489</v>
      </c>
      <c r="D122" s="14"/>
      <c r="E122" s="6" t="s">
        <v>737</v>
      </c>
      <c r="F122" s="14" t="s">
        <v>80</v>
      </c>
      <c r="G122" s="14" t="s">
        <v>1153</v>
      </c>
      <c r="H122" s="5" t="s">
        <v>1154</v>
      </c>
      <c r="I122" s="14" t="n">
        <v>2020</v>
      </c>
      <c r="J122" s="14" t="s">
        <v>1155</v>
      </c>
      <c r="K122" s="6" t="s">
        <v>944</v>
      </c>
      <c r="L122" s="14" t="s">
        <v>1156</v>
      </c>
      <c r="M122" s="7"/>
      <c r="N122" s="14" t="s">
        <v>1157</v>
      </c>
      <c r="O122" s="14" t="s">
        <v>1158</v>
      </c>
      <c r="P122" s="14" t="s">
        <v>1159</v>
      </c>
      <c r="Q122" s="14" t="s">
        <v>1160</v>
      </c>
      <c r="R122" s="14"/>
      <c r="S122" s="14" t="s">
        <v>1161</v>
      </c>
      <c r="T122" s="14" t="s">
        <v>1162</v>
      </c>
      <c r="U122" s="14" t="s">
        <v>1163</v>
      </c>
      <c r="V122" s="7"/>
      <c r="W122" s="7"/>
      <c r="X122" s="15" t="s">
        <v>1164</v>
      </c>
      <c r="Y122" s="14"/>
      <c r="Z122" s="14" t="s">
        <v>1118</v>
      </c>
    </row>
    <row r="123" customFormat="false" ht="45" hidden="false" customHeight="true" outlineLevel="0" collapsed="false">
      <c r="A123" s="14" t="n">
        <v>122</v>
      </c>
      <c r="B123" s="14" t="s">
        <v>64</v>
      </c>
      <c r="C123" s="14" t="s">
        <v>489</v>
      </c>
      <c r="D123" s="14"/>
      <c r="E123" s="6" t="s">
        <v>712</v>
      </c>
      <c r="F123" s="14" t="s">
        <v>80</v>
      </c>
      <c r="G123" s="14" t="s">
        <v>1165</v>
      </c>
      <c r="H123" s="5" t="s">
        <v>1166</v>
      </c>
      <c r="I123" s="14" t="n">
        <v>2018</v>
      </c>
      <c r="J123" s="14" t="s">
        <v>1129</v>
      </c>
      <c r="K123" s="6" t="s">
        <v>944</v>
      </c>
      <c r="L123" s="14" t="s">
        <v>1167</v>
      </c>
      <c r="M123" s="7"/>
      <c r="N123" s="14" t="s">
        <v>1168</v>
      </c>
      <c r="O123" s="14" t="s">
        <v>1169</v>
      </c>
      <c r="P123" s="14" t="s">
        <v>1170</v>
      </c>
      <c r="Q123" s="14" t="s">
        <v>1171</v>
      </c>
      <c r="R123" s="14"/>
      <c r="S123" s="14" t="s">
        <v>1172</v>
      </c>
      <c r="T123" s="14" t="s">
        <v>1173</v>
      </c>
      <c r="U123" s="14" t="s">
        <v>1174</v>
      </c>
      <c r="V123" s="7"/>
      <c r="W123" s="7"/>
      <c r="X123" s="15" t="s">
        <v>1175</v>
      </c>
      <c r="Y123" s="14"/>
      <c r="Z123" s="14" t="s">
        <v>1118</v>
      </c>
    </row>
    <row r="124" customFormat="false" ht="45" hidden="false" customHeight="true" outlineLevel="0" collapsed="false">
      <c r="A124" s="14" t="n">
        <v>123</v>
      </c>
      <c r="B124" s="14" t="s">
        <v>64</v>
      </c>
      <c r="C124" s="14" t="s">
        <v>489</v>
      </c>
      <c r="D124" s="14"/>
      <c r="E124" s="6" t="s">
        <v>490</v>
      </c>
      <c r="F124" s="14" t="s">
        <v>80</v>
      </c>
      <c r="G124" s="14" t="s">
        <v>1176</v>
      </c>
      <c r="H124" s="5" t="s">
        <v>1177</v>
      </c>
      <c r="I124" s="14" t="n">
        <v>2022</v>
      </c>
      <c r="J124" s="14" t="s">
        <v>1178</v>
      </c>
      <c r="K124" s="6" t="s">
        <v>944</v>
      </c>
      <c r="L124" s="14" t="s">
        <v>1179</v>
      </c>
      <c r="M124" s="7"/>
      <c r="N124" s="14" t="s">
        <v>1180</v>
      </c>
      <c r="O124" s="14" t="s">
        <v>1181</v>
      </c>
      <c r="P124" s="14" t="s">
        <v>1182</v>
      </c>
      <c r="Q124" s="14" t="s">
        <v>1183</v>
      </c>
      <c r="R124" s="14"/>
      <c r="S124" s="14" t="s">
        <v>1184</v>
      </c>
      <c r="T124" s="14" t="s">
        <v>1185</v>
      </c>
      <c r="U124" s="14" t="s">
        <v>1186</v>
      </c>
      <c r="V124" s="7"/>
      <c r="W124" s="7"/>
      <c r="X124" s="15" t="s">
        <v>1187</v>
      </c>
      <c r="Y124" s="14"/>
      <c r="Z124" s="14" t="s">
        <v>1118</v>
      </c>
    </row>
    <row r="125" customFormat="false" ht="45" hidden="false" customHeight="true" outlineLevel="0" collapsed="false">
      <c r="A125" s="14" t="n">
        <v>124</v>
      </c>
      <c r="B125" s="14" t="s">
        <v>64</v>
      </c>
      <c r="C125" s="14" t="s">
        <v>489</v>
      </c>
      <c r="D125" s="14"/>
      <c r="E125" s="6" t="s">
        <v>737</v>
      </c>
      <c r="F125" s="14" t="s">
        <v>80</v>
      </c>
      <c r="G125" s="14" t="s">
        <v>1188</v>
      </c>
      <c r="H125" s="5" t="s">
        <v>1189</v>
      </c>
      <c r="I125" s="14" t="n">
        <v>2014</v>
      </c>
      <c r="J125" s="14" t="s">
        <v>1190</v>
      </c>
      <c r="K125" s="6" t="s">
        <v>944</v>
      </c>
      <c r="L125" s="14" t="s">
        <v>1191</v>
      </c>
      <c r="M125" s="7"/>
      <c r="N125" s="14" t="s">
        <v>1192</v>
      </c>
      <c r="O125" s="14" t="s">
        <v>1193</v>
      </c>
      <c r="P125" s="14" t="s">
        <v>1194</v>
      </c>
      <c r="Q125" s="14" t="s">
        <v>1195</v>
      </c>
      <c r="R125" s="14"/>
      <c r="S125" s="14" t="s">
        <v>1196</v>
      </c>
      <c r="T125" s="14" t="s">
        <v>1197</v>
      </c>
      <c r="U125" s="14" t="s">
        <v>1198</v>
      </c>
      <c r="V125" s="7"/>
      <c r="W125" s="7"/>
      <c r="X125" s="15" t="s">
        <v>1199</v>
      </c>
      <c r="Y125" s="14"/>
      <c r="Z125" s="14" t="s">
        <v>1118</v>
      </c>
    </row>
    <row r="126" customFormat="false" ht="45" hidden="false" customHeight="true" outlineLevel="0" collapsed="false">
      <c r="A126" s="14" t="n">
        <v>125</v>
      </c>
      <c r="B126" s="14" t="s">
        <v>64</v>
      </c>
      <c r="C126" s="14" t="s">
        <v>489</v>
      </c>
      <c r="D126" s="14"/>
      <c r="E126" s="6" t="s">
        <v>712</v>
      </c>
      <c r="F126" s="14" t="s">
        <v>80</v>
      </c>
      <c r="G126" s="14" t="s">
        <v>1200</v>
      </c>
      <c r="H126" s="5" t="s">
        <v>942</v>
      </c>
      <c r="I126" s="14" t="n">
        <v>2022</v>
      </c>
      <c r="J126" s="5" t="s">
        <v>1201</v>
      </c>
      <c r="K126" s="6" t="s">
        <v>944</v>
      </c>
      <c r="L126" s="14" t="s">
        <v>1202</v>
      </c>
      <c r="M126" s="7"/>
      <c r="N126" s="14" t="s">
        <v>1203</v>
      </c>
      <c r="O126" s="14" t="s">
        <v>1204</v>
      </c>
      <c r="P126" s="14" t="s">
        <v>1205</v>
      </c>
      <c r="Q126" s="14" t="s">
        <v>1206</v>
      </c>
      <c r="R126" s="14"/>
      <c r="S126" s="14" t="s">
        <v>1207</v>
      </c>
      <c r="T126" s="14" t="s">
        <v>1208</v>
      </c>
      <c r="U126" s="14" t="s">
        <v>1209</v>
      </c>
      <c r="V126" s="7"/>
      <c r="W126" s="7"/>
      <c r="X126" s="15" t="s">
        <v>1210</v>
      </c>
      <c r="Y126" s="14"/>
      <c r="Z126" s="14" t="s">
        <v>1211</v>
      </c>
    </row>
    <row r="127" customFormat="false" ht="45" hidden="false" customHeight="true" outlineLevel="0" collapsed="false">
      <c r="A127" s="14" t="n">
        <v>126</v>
      </c>
      <c r="B127" s="14" t="s">
        <v>64</v>
      </c>
      <c r="C127" s="14" t="s">
        <v>470</v>
      </c>
      <c r="D127" s="14" t="s">
        <v>571</v>
      </c>
      <c r="E127" s="14" t="s">
        <v>571</v>
      </c>
      <c r="F127" s="5" t="s">
        <v>491</v>
      </c>
      <c r="G127" s="14" t="s">
        <v>1212</v>
      </c>
      <c r="H127" s="14" t="s">
        <v>1213</v>
      </c>
      <c r="I127" s="14" t="n">
        <v>2007</v>
      </c>
      <c r="J127" s="14" t="s">
        <v>943</v>
      </c>
      <c r="K127" s="6" t="s">
        <v>944</v>
      </c>
      <c r="L127" s="14" t="s">
        <v>1214</v>
      </c>
      <c r="M127" s="7"/>
      <c r="N127" s="14" t="s">
        <v>1215</v>
      </c>
      <c r="O127" s="14" t="s">
        <v>74</v>
      </c>
      <c r="P127" s="14" t="s">
        <v>74</v>
      </c>
      <c r="Q127" s="14" t="s">
        <v>74</v>
      </c>
      <c r="R127" s="14" t="s">
        <v>74</v>
      </c>
      <c r="S127" s="14" t="s">
        <v>74</v>
      </c>
      <c r="T127" s="14" t="s">
        <v>74</v>
      </c>
      <c r="U127" s="14" t="s">
        <v>1216</v>
      </c>
      <c r="V127" s="7"/>
      <c r="W127" s="7"/>
      <c r="X127" s="15" t="s">
        <v>1217</v>
      </c>
      <c r="Y127" s="14"/>
      <c r="Z127" s="14"/>
    </row>
    <row r="128" customFormat="false" ht="45" hidden="false" customHeight="true" outlineLevel="0" collapsed="false">
      <c r="A128" s="14" t="n">
        <v>127</v>
      </c>
      <c r="B128" s="14" t="s">
        <v>64</v>
      </c>
      <c r="C128" s="14" t="s">
        <v>470</v>
      </c>
      <c r="D128" s="14" t="s">
        <v>571</v>
      </c>
      <c r="E128" s="14" t="s">
        <v>571</v>
      </c>
      <c r="F128" s="14" t="s">
        <v>359</v>
      </c>
      <c r="G128" s="14" t="s">
        <v>1218</v>
      </c>
      <c r="H128" s="14" t="s">
        <v>1219</v>
      </c>
      <c r="I128" s="14" t="n">
        <v>2006</v>
      </c>
      <c r="J128" s="5" t="s">
        <v>1201</v>
      </c>
      <c r="K128" s="6" t="s">
        <v>944</v>
      </c>
      <c r="L128" s="14" t="s">
        <v>1220</v>
      </c>
      <c r="M128" s="7"/>
      <c r="N128" s="14" t="s">
        <v>1221</v>
      </c>
      <c r="O128" s="14" t="s">
        <v>74</v>
      </c>
      <c r="P128" s="14" t="s">
        <v>74</v>
      </c>
      <c r="Q128" s="14" t="s">
        <v>74</v>
      </c>
      <c r="R128" s="14" t="s">
        <v>74</v>
      </c>
      <c r="S128" s="14" t="s">
        <v>1222</v>
      </c>
      <c r="T128" s="14" t="s">
        <v>1223</v>
      </c>
      <c r="U128" s="14" t="s">
        <v>1224</v>
      </c>
      <c r="V128" s="7"/>
      <c r="W128" s="7"/>
      <c r="X128" s="15" t="s">
        <v>1225</v>
      </c>
      <c r="Y128" s="14"/>
      <c r="Z128" s="14"/>
    </row>
    <row r="129" customFormat="false" ht="45" hidden="false" customHeight="true" outlineLevel="0" collapsed="false">
      <c r="A129" s="14" t="n">
        <v>128</v>
      </c>
      <c r="B129" s="14" t="s">
        <v>64</v>
      </c>
      <c r="C129" s="14" t="s">
        <v>470</v>
      </c>
      <c r="D129" s="14" t="s">
        <v>534</v>
      </c>
      <c r="E129" s="14" t="s">
        <v>534</v>
      </c>
      <c r="F129" s="14" t="s">
        <v>461</v>
      </c>
      <c r="G129" s="14" t="s">
        <v>1226</v>
      </c>
      <c r="H129" s="5" t="s">
        <v>1227</v>
      </c>
      <c r="I129" s="14" t="n">
        <v>2018</v>
      </c>
      <c r="J129" s="14" t="s">
        <v>1228</v>
      </c>
      <c r="K129" s="6" t="s">
        <v>944</v>
      </c>
      <c r="L129" s="14" t="s">
        <v>1229</v>
      </c>
      <c r="M129" s="7"/>
      <c r="N129" s="14" t="s">
        <v>1230</v>
      </c>
      <c r="O129" s="14" t="s">
        <v>74</v>
      </c>
      <c r="P129" s="14" t="s">
        <v>74</v>
      </c>
      <c r="Q129" s="14" t="s">
        <v>74</v>
      </c>
      <c r="R129" s="14" t="s">
        <v>74</v>
      </c>
      <c r="S129" s="14" t="s">
        <v>74</v>
      </c>
      <c r="T129" s="14" t="s">
        <v>74</v>
      </c>
      <c r="U129" s="14" t="s">
        <v>1231</v>
      </c>
      <c r="V129" s="7"/>
      <c r="W129" s="7"/>
      <c r="X129" s="15" t="s">
        <v>1232</v>
      </c>
      <c r="Y129" s="14"/>
      <c r="Z129" s="14"/>
    </row>
    <row r="130" customFormat="false" ht="45" hidden="false" customHeight="true" outlineLevel="0" collapsed="false">
      <c r="A130" s="14" t="n">
        <v>129</v>
      </c>
      <c r="B130" s="14" t="s">
        <v>64</v>
      </c>
      <c r="C130" s="14" t="s">
        <v>470</v>
      </c>
      <c r="D130" s="14" t="s">
        <v>571</v>
      </c>
      <c r="E130" s="14" t="s">
        <v>571</v>
      </c>
      <c r="F130" s="5" t="s">
        <v>491</v>
      </c>
      <c r="G130" s="14" t="s">
        <v>1233</v>
      </c>
      <c r="H130" s="14" t="s">
        <v>1234</v>
      </c>
      <c r="I130" s="14" t="n">
        <v>1997</v>
      </c>
      <c r="J130" s="14"/>
      <c r="K130" s="6" t="s">
        <v>989</v>
      </c>
      <c r="L130" s="14" t="s">
        <v>1235</v>
      </c>
      <c r="M130" s="7"/>
      <c r="N130" s="14" t="s">
        <v>1236</v>
      </c>
      <c r="O130" s="14" t="s">
        <v>74</v>
      </c>
      <c r="P130" s="14" t="s">
        <v>74</v>
      </c>
      <c r="Q130" s="14" t="s">
        <v>74</v>
      </c>
      <c r="R130" s="14" t="s">
        <v>74</v>
      </c>
      <c r="S130" s="14" t="s">
        <v>1237</v>
      </c>
      <c r="T130" s="14" t="s">
        <v>1238</v>
      </c>
      <c r="U130" s="14" t="s">
        <v>1239</v>
      </c>
      <c r="V130" s="7"/>
      <c r="W130" s="7"/>
      <c r="X130" s="15" t="s">
        <v>1240</v>
      </c>
      <c r="Y130" s="14"/>
      <c r="Z130" s="14" t="s">
        <v>996</v>
      </c>
    </row>
    <row r="131" customFormat="false" ht="45" hidden="false" customHeight="true" outlineLevel="0" collapsed="false">
      <c r="A131" s="14" t="n">
        <v>130</v>
      </c>
      <c r="B131" s="14" t="s">
        <v>64</v>
      </c>
      <c r="C131" s="14" t="s">
        <v>470</v>
      </c>
      <c r="D131" s="14" t="s">
        <v>571</v>
      </c>
      <c r="E131" s="14" t="s">
        <v>571</v>
      </c>
      <c r="F131" s="5" t="s">
        <v>491</v>
      </c>
      <c r="G131" s="14" t="s">
        <v>1241</v>
      </c>
      <c r="H131" s="5" t="s">
        <v>1242</v>
      </c>
      <c r="I131" s="14" t="n">
        <v>2001</v>
      </c>
      <c r="J131" s="5" t="s">
        <v>1243</v>
      </c>
      <c r="K131" s="6" t="s">
        <v>944</v>
      </c>
      <c r="L131" s="14" t="s">
        <v>1244</v>
      </c>
      <c r="M131" s="7"/>
      <c r="N131" s="14" t="s">
        <v>1245</v>
      </c>
      <c r="O131" s="14" t="s">
        <v>74</v>
      </c>
      <c r="P131" s="14" t="s">
        <v>74</v>
      </c>
      <c r="Q131" s="14" t="s">
        <v>74</v>
      </c>
      <c r="R131" s="14" t="s">
        <v>74</v>
      </c>
      <c r="S131" s="14" t="s">
        <v>1246</v>
      </c>
      <c r="T131" s="14" t="s">
        <v>1247</v>
      </c>
      <c r="U131" s="14" t="s">
        <v>1248</v>
      </c>
      <c r="V131" s="7"/>
      <c r="W131" s="7"/>
      <c r="X131" s="15" t="s">
        <v>1249</v>
      </c>
      <c r="Y131" s="14"/>
      <c r="Z131" s="14"/>
    </row>
    <row r="132" customFormat="false" ht="45" hidden="false" customHeight="true" outlineLevel="0" collapsed="false">
      <c r="A132" s="14" t="n">
        <v>131</v>
      </c>
      <c r="B132" s="14" t="s">
        <v>64</v>
      </c>
      <c r="C132" s="14" t="s">
        <v>65</v>
      </c>
      <c r="D132" s="14" t="s">
        <v>94</v>
      </c>
      <c r="E132" s="6" t="s">
        <v>95</v>
      </c>
      <c r="F132" s="14" t="s">
        <v>80</v>
      </c>
      <c r="G132" s="14" t="s">
        <v>1250</v>
      </c>
      <c r="H132" s="5" t="s">
        <v>1251</v>
      </c>
      <c r="I132" s="14"/>
      <c r="J132" s="5" t="s">
        <v>70</v>
      </c>
      <c r="K132" s="6" t="s">
        <v>71</v>
      </c>
      <c r="L132" s="14"/>
      <c r="M132" s="7"/>
      <c r="N132" s="14" t="s">
        <v>1252</v>
      </c>
      <c r="O132" s="14" t="s">
        <v>1253</v>
      </c>
      <c r="P132" s="14" t="s">
        <v>1254</v>
      </c>
      <c r="Q132" s="14" t="s">
        <v>1255</v>
      </c>
      <c r="R132" s="14" t="s">
        <v>229</v>
      </c>
      <c r="S132" s="14" t="s">
        <v>1256</v>
      </c>
      <c r="T132" s="14" t="s">
        <v>1257</v>
      </c>
      <c r="U132" s="14" t="s">
        <v>1258</v>
      </c>
      <c r="V132" s="7"/>
      <c r="W132" s="7"/>
      <c r="X132" s="15" t="s">
        <v>1259</v>
      </c>
      <c r="Y132" s="14" t="s">
        <v>221</v>
      </c>
      <c r="Z132" s="14" t="s">
        <v>1260</v>
      </c>
    </row>
    <row r="133" customFormat="false" ht="45" hidden="false" customHeight="true" outlineLevel="0" collapsed="false">
      <c r="A133" s="14" t="n">
        <v>132</v>
      </c>
      <c r="B133" s="14" t="s">
        <v>64</v>
      </c>
      <c r="C133" s="14" t="s">
        <v>65</v>
      </c>
      <c r="D133" s="14" t="s">
        <v>94</v>
      </c>
      <c r="E133" s="6" t="s">
        <v>95</v>
      </c>
      <c r="F133" s="14" t="s">
        <v>80</v>
      </c>
      <c r="G133" s="14" t="s">
        <v>1261</v>
      </c>
      <c r="H133" s="5" t="s">
        <v>1262</v>
      </c>
      <c r="I133" s="14"/>
      <c r="J133" s="5" t="s">
        <v>70</v>
      </c>
      <c r="K133" s="6" t="s">
        <v>71</v>
      </c>
      <c r="L133" s="14"/>
      <c r="M133" s="7"/>
      <c r="N133" s="14" t="s">
        <v>1263</v>
      </c>
      <c r="O133" s="14" t="s">
        <v>1264</v>
      </c>
      <c r="P133" s="14" t="s">
        <v>1265</v>
      </c>
      <c r="Q133" s="14" t="s">
        <v>1266</v>
      </c>
      <c r="R133" s="14" t="s">
        <v>229</v>
      </c>
      <c r="S133" s="14" t="s">
        <v>1267</v>
      </c>
      <c r="T133" s="14" t="s">
        <v>1268</v>
      </c>
      <c r="U133" s="14" t="s">
        <v>1269</v>
      </c>
      <c r="V133" s="7"/>
      <c r="W133" s="7"/>
      <c r="X133" s="15" t="s">
        <v>1270</v>
      </c>
      <c r="Y133" s="14" t="s">
        <v>221</v>
      </c>
      <c r="Z133" s="14" t="s">
        <v>1260</v>
      </c>
    </row>
    <row r="134" customFormat="false" ht="45" hidden="false" customHeight="true" outlineLevel="0" collapsed="false">
      <c r="A134" s="14" t="n">
        <v>133</v>
      </c>
      <c r="B134" s="14" t="s">
        <v>64</v>
      </c>
      <c r="C134" s="14" t="s">
        <v>489</v>
      </c>
      <c r="D134" s="14"/>
      <c r="E134" s="6" t="s">
        <v>737</v>
      </c>
      <c r="F134" s="14" t="s">
        <v>80</v>
      </c>
      <c r="G134" s="14" t="s">
        <v>1271</v>
      </c>
      <c r="H134" s="14" t="s">
        <v>1272</v>
      </c>
      <c r="I134" s="14" t="n">
        <v>2022</v>
      </c>
      <c r="J134" s="5" t="s">
        <v>70</v>
      </c>
      <c r="K134" s="6" t="s">
        <v>71</v>
      </c>
      <c r="L134" s="14" t="s">
        <v>1273</v>
      </c>
      <c r="M134" s="7"/>
      <c r="N134" s="14" t="s">
        <v>1274</v>
      </c>
      <c r="O134" s="14" t="s">
        <v>1275</v>
      </c>
      <c r="P134" s="14" t="s">
        <v>1276</v>
      </c>
      <c r="Q134" s="14" t="s">
        <v>1277</v>
      </c>
      <c r="R134" s="14" t="s">
        <v>229</v>
      </c>
      <c r="S134" s="14" t="s">
        <v>1278</v>
      </c>
      <c r="T134" s="14" t="s">
        <v>1279</v>
      </c>
      <c r="U134" s="14" t="s">
        <v>1280</v>
      </c>
      <c r="V134" s="7"/>
      <c r="W134" s="7"/>
      <c r="X134" s="15" t="s">
        <v>1281</v>
      </c>
      <c r="Y134" s="14" t="s">
        <v>221</v>
      </c>
      <c r="Z134" s="14"/>
    </row>
    <row r="135" customFormat="false" ht="45" hidden="false" customHeight="true" outlineLevel="0" collapsed="false">
      <c r="A135" s="14" t="n">
        <v>134</v>
      </c>
      <c r="B135" s="14" t="s">
        <v>64</v>
      </c>
      <c r="C135" s="14" t="s">
        <v>489</v>
      </c>
      <c r="D135" s="14"/>
      <c r="E135" s="6" t="s">
        <v>737</v>
      </c>
      <c r="F135" s="14" t="s">
        <v>80</v>
      </c>
      <c r="G135" s="14" t="s">
        <v>1282</v>
      </c>
      <c r="H135" s="5" t="s">
        <v>1283</v>
      </c>
      <c r="I135" s="14" t="n">
        <v>2024</v>
      </c>
      <c r="J135" s="5" t="s">
        <v>70</v>
      </c>
      <c r="K135" s="6" t="s">
        <v>71</v>
      </c>
      <c r="L135" s="14" t="s">
        <v>1284</v>
      </c>
      <c r="M135" s="7"/>
      <c r="N135" s="14" t="s">
        <v>1285</v>
      </c>
      <c r="O135" s="14" t="s">
        <v>1286</v>
      </c>
      <c r="P135" s="14" t="s">
        <v>1287</v>
      </c>
      <c r="Q135" s="14" t="s">
        <v>1288</v>
      </c>
      <c r="R135" s="14" t="s">
        <v>88</v>
      </c>
      <c r="S135" s="14" t="s">
        <v>1289</v>
      </c>
      <c r="T135" s="14" t="s">
        <v>1290</v>
      </c>
      <c r="U135" s="14" t="s">
        <v>1291</v>
      </c>
      <c r="V135" s="7"/>
      <c r="W135" s="7"/>
      <c r="X135" s="15" t="s">
        <v>1292</v>
      </c>
      <c r="Y135" s="14" t="s">
        <v>452</v>
      </c>
      <c r="Z135" s="14"/>
    </row>
    <row r="136" customFormat="false" ht="45" hidden="false" customHeight="true" outlineLevel="0" collapsed="false">
      <c r="A136" s="14" t="n">
        <v>135</v>
      </c>
      <c r="B136" s="14" t="s">
        <v>64</v>
      </c>
      <c r="C136" s="14" t="s">
        <v>489</v>
      </c>
      <c r="D136" s="14"/>
      <c r="E136" s="6" t="s">
        <v>737</v>
      </c>
      <c r="F136" s="14" t="s">
        <v>80</v>
      </c>
      <c r="G136" s="14" t="s">
        <v>1293</v>
      </c>
      <c r="H136" s="14" t="s">
        <v>1294</v>
      </c>
      <c r="I136" s="14" t="n">
        <v>2024</v>
      </c>
      <c r="J136" s="5" t="s">
        <v>70</v>
      </c>
      <c r="K136" s="6" t="s">
        <v>71</v>
      </c>
      <c r="L136" s="14"/>
      <c r="M136" s="7"/>
      <c r="N136" s="14" t="s">
        <v>1295</v>
      </c>
      <c r="O136" s="14" t="s">
        <v>1296</v>
      </c>
      <c r="P136" s="14" t="s">
        <v>1297</v>
      </c>
      <c r="Q136" s="14" t="s">
        <v>1298</v>
      </c>
      <c r="R136" s="14" t="s">
        <v>216</v>
      </c>
      <c r="S136" s="14" t="s">
        <v>1299</v>
      </c>
      <c r="T136" s="14" t="s">
        <v>1300</v>
      </c>
      <c r="U136" s="14" t="s">
        <v>1301</v>
      </c>
      <c r="V136" s="7"/>
      <c r="W136" s="7"/>
      <c r="X136" s="15" t="s">
        <v>1302</v>
      </c>
      <c r="Y136" s="14" t="s">
        <v>221</v>
      </c>
      <c r="Z136" s="14" t="s">
        <v>107</v>
      </c>
    </row>
    <row r="137" customFormat="false" ht="45" hidden="false" customHeight="true" outlineLevel="0" collapsed="false">
      <c r="A137" s="14" t="n">
        <v>136</v>
      </c>
      <c r="B137" s="14" t="s">
        <v>64</v>
      </c>
      <c r="C137" s="14" t="s">
        <v>489</v>
      </c>
      <c r="D137" s="14"/>
      <c r="E137" s="6" t="s">
        <v>1303</v>
      </c>
      <c r="F137" s="14" t="s">
        <v>80</v>
      </c>
      <c r="G137" s="14" t="s">
        <v>1304</v>
      </c>
      <c r="H137" s="5" t="s">
        <v>1305</v>
      </c>
      <c r="I137" s="14" t="n">
        <v>2021</v>
      </c>
      <c r="J137" s="5" t="s">
        <v>70</v>
      </c>
      <c r="K137" s="6" t="s">
        <v>71</v>
      </c>
      <c r="L137" s="14" t="s">
        <v>1306</v>
      </c>
      <c r="M137" s="7"/>
      <c r="N137" s="14" t="s">
        <v>1307</v>
      </c>
      <c r="O137" s="14" t="s">
        <v>1308</v>
      </c>
      <c r="P137" s="14" t="s">
        <v>1309</v>
      </c>
      <c r="Q137" s="14" t="s">
        <v>1310</v>
      </c>
      <c r="R137" s="14" t="s">
        <v>88</v>
      </c>
      <c r="S137" s="14" t="s">
        <v>1311</v>
      </c>
      <c r="T137" s="14" t="s">
        <v>1312</v>
      </c>
      <c r="U137" s="14" t="s">
        <v>1313</v>
      </c>
      <c r="V137" s="7"/>
      <c r="W137" s="7"/>
      <c r="X137" s="15" t="s">
        <v>1314</v>
      </c>
      <c r="Y137" s="14" t="s">
        <v>1315</v>
      </c>
      <c r="Z137" s="14"/>
    </row>
  </sheetData>
  <autoFilter ref="A1:Z137"/>
  <dataValidations count="5">
    <dataValidation allowBlank="true" error="Elige un valor de la lista (hoja «Listas»)." errorStyle="stop" errorTitle="Valor no válido" operator="between" showDropDown="false" showErrorMessage="true" showInputMessage="false" sqref="W2:W400" type="list">
      <formula1>Listas!$A$2:$A$6</formula1>
      <formula2>0</formula2>
    </dataValidation>
    <dataValidation allowBlank="true" error="Elige un valor de la lista (hoja «Listas»)." errorStyle="stop" errorTitle="Valor no válido" operator="between" showDropDown="false" showErrorMessage="true" showInputMessage="false" sqref="M2:M400" type="list">
      <formula1>Listas!$B$2:$B$12</formula1>
      <formula2>0</formula2>
    </dataValidation>
    <dataValidation allowBlank="true" error="Elige un valor de la lista (hoja «Listas»)." errorStyle="stop" errorTitle="Valor no válido" operator="between" showDropDown="false" showErrorMessage="true" showInputMessage="false" sqref="B2:B400" type="list">
      <formula1>Listas!$C$2:$C$4</formula1>
      <formula2>0</formula2>
    </dataValidation>
    <dataValidation allowBlank="true" error="Elige un valor de la lista (hoja «Listas»)." errorStyle="stop" errorTitle="Valor no válido" operator="between" showDropDown="false" showErrorMessage="true" showInputMessage="false" sqref="K2:K400" type="list">
      <formula1>Listas!$D$2:$D$5</formula1>
      <formula2>0</formula2>
    </dataValidation>
    <dataValidation allowBlank="true" error="Elige un valor de la lista (hoja «Listas»)." errorStyle="stop" errorTitle="Valor no válido" operator="between" showDropDown="false" showErrorMessage="true" showInputMessage="false" sqref="E2:E400" type="list">
      <formula1>Listas!$I$2:$I$20</formula1>
      <formula2>0</formula2>
    </dataValidation>
  </dataValidations>
  <hyperlinks>
    <hyperlink ref="X2" r:id="rId2" display="https://unesdoc.unesco.org/ark:/48223/pf0000374775"/>
    <hyperlink ref="X3" r:id="rId3" display="https://www.razarate.com/_files/ugd/c322b8_e7e289366c6041ae84e077fdc856f8d0.pdf"/>
    <hyperlink ref="X4" r:id="rId4" display="https://www.nber.org/papers/w31314"/>
    <hyperlink ref="X5" r:id="rId5" display="https://cies.org.pe/investigacion/desmontando-percepciones-y-estereotipos-de-genero-en-carreras-stem-entre-adolescentes-de-secundaria-y-sus-padres-evidencia-experimental-para-el-contexto-peruano/"/>
    <hyperlink ref="X6" r:id="rId6" display="https://documents1.worldbank.org/curated/es/256681558607242941/pdf/Gender-Gaps-in-Peru-An-Overview.pdf"/>
    <hyperlink ref="X7" r:id="rId7" display="https://www.jstor.org/stable/pdf/j.ctv47w9dv.21.pdf?refreqid=excelsior%25%203Ab57e4516f52c37905064d3f3f1bfef36&amp;ab_segments=&amp;origin="/>
    <hyperlink ref="X8" r:id="rId8" display="https://www.sciencedirect.com/science/article/abs/pii/S0277953617301430"/>
    <hyperlink ref="X9" r:id="rId9" display="https://dialnet.unirioja.es/servlet/articulo?codigo=8556517"/>
    <hyperlink ref="X10" r:id="rId10" display="https://ora.ox.ac.uk/objects/uuid:d0ebeca7-27fd-49f9-822e-7617a73e5716"/>
    <hyperlink ref="X11" r:id="rId11" display="http://perueconomics.org/wp-content/uploads/2016/06/WP-90.pdf"/>
    <hyperlink ref="X12" r:id="rId12" display="https://upc.aws.openrepository.com/handle/10757/661459"/>
    <hyperlink ref="X13" r:id="rId13" display="https://hdl.handle.net/20.500.12820/365"/>
    <hyperlink ref="X14" r:id="rId14" display="https://www.researchgate.net/profile/Gustavo-Yamada/publication/267994819_Las_diferencias_etnicas_y_de_genero_en_el_acceso_a_la_educacion_basica_y_superior_en_el_Peru_Con_la_colaboracion_de/links/54b90d3a0cf28faced6268bd/Las-diferencias-etnicas-y-de-genero-en-el-acceso-a-la-educacion-basica-y-superior-en-el-Peru-Con-la-colaboracion-de.pdf"/>
    <hyperlink ref="X15" r:id="rId15" display="https://www.socialscienceregistry.org/trials/10445"/>
    <hyperlink ref="X16" r:id="rId16" display="https://www.socialscienceregistry.org/trials/10643"/>
    <hyperlink ref="X17" r:id="rId17" display="https://tesis.pucp.edu.pe/repositorio/bitstream/handle/20.500.12404/21187/IPARRAGUIRRE_CIEZA_VALER_MOSCOSO_BRECHAS_SALARIALES_DE_G%c3%89NERO.pdf?sequence=1&amp;isAllowed=y"/>
    <hyperlink ref="X18" r:id="rId18" display="https://tesis.pucp.edu.pe/repositorio/handle/20.500.12404/23630"/>
    <hyperlink ref="X19" r:id="rId19" display="https://tesis.pucp.edu.pe/repositorio/bitstream/handle/20.500.12404/14943/RIOS_PAMELA_EDUCACION_BRECHA_SALARIAL.pdf?sequence=1&amp;isAllowed=y"/>
    <hyperlink ref="X20" r:id="rId20" display="https://tesis.pucp.edu.pe/repositorio/handle/20.500.12404/12673"/>
    <hyperlink ref="X21" r:id="rId21" display="https://tesis.pucp.edu.pe/repositorio/bitstream/handle/20.500.12404/13017/MONTOYA_GARCIA_COBIAN_ALEJANDRA_EFECTO_SEXO_AUTORIDADES.pdf?sequence=1&amp;isAllowed=y"/>
    <hyperlink ref="X22" r:id="rId22" display="https://www.ojs.revistainteracciones.com/index.php/rin/article/view/233"/>
    <hyperlink ref="X23" r:id="rId23" location="" display="https://www.ssoar.info/ssoar/handle/document/78269#"/>
    <hyperlink ref="X24" r:id="rId24" display="https://link.springer.com/article/10.1186/s12889-022-12889-4"/>
    <hyperlink ref="X25" r:id="rId25" display="https://www.ncbi.nlm.nih.gov/pmc/articles/PMC5136520/"/>
    <hyperlink ref="X26" r:id="rId26" display="https://juventud.gob.pe/wp-content/uploads/2020/09/Gu%C3%ADa-de-brecha-de-genero.pdf"/>
    <hyperlink ref="X27" r:id="rId27" display="https://www.grade.org.pe/en/publicaciones/unveiling-barriers-to-womens-access-to-decent-work-in-peru/"/>
    <hyperlink ref="X28" r:id="rId28" display="https://documents.worldbank.org/en/publication/documents-reports/documentdetail/221071468780894965/labor-market-participation-returns-to-education-and-male-female-wage-differences-in-peru"/>
    <hyperlink ref="X29" r:id="rId29" display="https://www.sciencedirect.com/science/article/abs/pii/027277579090015W"/>
    <hyperlink ref="X30" r:id="rId30" display="https://tesis.pucp.edu.pe/repositorio/handle/20.500.12404/27938"/>
    <hyperlink ref="X31" r:id="rId31" display="https://faculty.up.edu.pe/es/publications/gender-inequity-older-workers-and-the-gender-labor-income-gap-in-"/>
    <hyperlink ref="X32" r:id="rId32" display="https://www.grade.org.pe/publicaciones/young-women-and-higher-education-in-peru-how-does-gender-shape-their-educational-trajectories/"/>
    <hyperlink ref="X33" r:id="rId33" display="https://www.grade.org.pe/publicaciones/gendered-trajectories-through-education-work-and-parenthood-in-peru/"/>
    <hyperlink ref="X34" r:id="rId34" display="https://www.grade.org.pe/wp-content/uploads/CCH_Sunedu_2023.pdf"/>
    <hyperlink ref="X35" r:id="rId35" display="https://cies.org.pe/investigacion/efecto-de-los-roles-de-genero-del-hogar-en-resultados-educativos-de-las-ninas/"/>
    <hyperlink ref="X36" r:id="rId36" location=":~:text=Instead%2C%20they%20typically%20spend%20more,to%20a%20strong%20gender%20divide." display="https://www.oecd.org/en/publications/2022/06/gender-equality-in-peru_81043c5c.html#:~:text=Instead%2C%20they%20typically%20spend%20more,to%20a%20strong%20gender%20divide."/>
    <hyperlink ref="X37" r:id="rId37" display="https://www.ilo.org/media/426186/download"/>
    <hyperlink ref="X38" r:id="rId38" display="https://link.springer.com/article/10.1007/s10834-023-09921-z"/>
    <hyperlink ref="X39" r:id="rId39" display="https://www.gob.pe/institucion/inei/informes-publicaciones/5181683-peru-brechas-de-genero-2023-avances-hacia-la-igualdad-de-mujeres-y-hombres"/>
    <hyperlink ref="X40" r:id="rId40" display="https://www.inei.gob.pe/media/MenuRecursivo/publicaciones_digitales/Est/Lib1879/libro.pdf"/>
    <hyperlink ref="X41" r:id="rId41" display="https://publications.iadb.org/en/publications/english/viewer/What-Job-Would-You-Apply-to-Findings-on-the-Impact-of-Language-on-Job-Searches.pdf"/>
    <hyperlink ref="X42" r:id="rId42" display="https://www.gob.pe/institucion/mtpe/informes-publicaciones/5060924-informe-anual-de-la-mujer-en-el-mercado-laboral-2022"/>
    <hyperlink ref="X43" r:id="rId43" display="https://www.grade.org.pe/en/publicaciones/reinsercion-y-permanencia-en-el-mercado-laboral-con-equidad-de-genero-el-servicio-cuidado-diurno-en-madres-jovenes/"/>
    <hyperlink ref="X44" r:id="rId44" display="https://assets.publishing.service.gov.uk/media/57a08b7b40f0b652dd000cde/workingpaper67.pdf"/>
    <hyperlink ref="X45" r:id="rId45" display="https://gupea.ub.gu.se/bitstream/handle/2077/73902/Matilda%20Andersson%20Minna%20Risberg%20Challenges%20for%20women%27s%20labor.pdf?sequence=3&amp;isAllowed=y"/>
    <hyperlink ref="X46" r:id="rId46" display="https://cies.org.pe/publicaciones/aportes-a-la-comprension-de-la-trata-de-personas-en-el-peru-compendio-de-balance-de-investigaciones/"/>
    <hyperlink ref="X47" r:id="rId47" display="https://cies.org.pe/publicaciones/guia-didactica-para-docentes-que-buscan-promover-la-investigacion-sobre-trata-de-personas/"/>
    <hyperlink ref="X48" r:id="rId48" display="https://cies.org.pe/publicaciones/caja-de-herramientas-sobre-derechos-humanos-diversidad-sexual-corporal-y-de-genero/"/>
    <hyperlink ref="X49" r:id="rId49" display="https://revistas.pucp.edu.pe/index.php/iusetveritas/article/view/22499"/>
    <hyperlink ref="X50" r:id="rId50" display="https://peru.unfpa.org/sites/default/files/pub-pdf/PODER%20JUDICIAL%20publicacion_pensando%20en%20g%C3%A9nero.pdf"/>
    <hyperlink ref="X51" r:id="rId51" display="https://www.mimp.gob.pe/omep/pdf/evidencias/Rousseau2021.pdf"/>
    <hyperlink ref="X52" r:id="rId52" display="https://www.mimp.gob.pe/files/direcciones/dgcvg/mimp-marco-conceptual-violencia-basada-en-genero.pdf"/>
    <hyperlink ref="X53" r:id="rId53" display="https://repositorio.iep.org.pe/handle/IEP/1148"/>
    <hyperlink ref="X54" r:id="rId54" display="https://cies.org.pe/investigacion/en-capilla-desigualdades-en-la-insercion-laboral-de-mujeres-jovenes/"/>
    <hyperlink ref="X55" r:id="rId55" display="https://oi-files-cng-prod.s3.amazonaws.com/peru.oxfam.org/s3fs-public/file_attachments/Tiempos-de-Cuidados.pdf"/>
    <hyperlink ref="X56" r:id="rId56" display="https://cies.org.pe/investigacion/economia-del-cuidado-desigualdades-de-genero-y-participacion-cuna-mas/"/>
    <hyperlink ref="X57" r:id="rId57" display="https://www.tandfonline.com/doi/abs/10.1080/13545701.2017.1344776"/>
    <hyperlink ref="X58" r:id="rId58" location="page7" display="https://read.oecd-ilibrary.org/social-issues-migration-health/igualdad-de-genero-en-el-peru_34a988b3-es#page7"/>
    <hyperlink ref="X59" r:id="rId59" display="https://revistas.pucp.edu.pe/index.php/economia/article/view/20908"/>
    <hyperlink ref="X60" r:id="rId60" display="https://revistasinvestigacion.unmsm.edu.pe/index.php/discursos/article/view/22112/17801"/>
    <hyperlink ref="X61" r:id="rId61" display="https://www.lai.fu-berlin.de/homepages/marull/Forschung_und_Publikationen/Thesis_Marull_A_Y__2010-2011.pdf"/>
    <hyperlink ref="X62" r:id="rId62" display="https://tesis.pucp.edu.pe/repositorio/bitstream/handle/20.500.12404/24183/CUADRA_LAZARTE_MARIA_PAZ_BC_SIN_HORARIO.pdf?sequence=1"/>
    <hyperlink ref="X63" r:id="rId63" display="https://tesis.pucp.edu.pe/repositorio/bitstream/handle/20.500.12404/24183/CUADRA_LAZARTE_MARIA_PAZ_BC_SIN_HORARIO.pdf?sequence=1"/>
    <hyperlink ref="X64" r:id="rId64" display="https://dialnet.unirioja.es/servlet/articulo?codigo=6693471"/>
    <hyperlink ref="X65" r:id="rId65" display="https://www.ilo.org/sites/default/files/wcmsp5/groups/public/@americas/@ro-lima/documents/publication/wcms_213173.pdf"/>
    <hyperlink ref="X66" r:id="rId66" display="https://su.diva-portal.org/smash/get/diva2:1794525/FULLTEXT01.pdf"/>
    <hyperlink ref="X67" r:id="rId67" display="https://www.inei.gob.pe/media/MenuRecursivo/publicaciones_digitales/Est/Lib1358/libro.pdf"/>
    <hyperlink ref="X68" r:id="rId68" display="https://oig.cepal.org/sites/default/files/2021_dtmcc_per.pdf"/>
    <hyperlink ref="X69" r:id="rId69" display="https://www.grade.org.pe/wp-content/uploads/LibroGRADEViolenciaSMujereS.pdf"/>
    <hyperlink ref="X70" r:id="rId70" display="https://ecommons.cornell.edu/server/api/core/bitstreams/07c289ba-3a09-4d50-a81b-e6c051c9521a/content"/>
    <hyperlink ref="X71" r:id="rId71" display="https://cris.usil.edu.pe/es/publications/gender-differences-in-the-factors-associated-with-alcohol-binge-d"/>
    <hyperlink ref="X72" r:id="rId72" display="https://journals.sagepub.com/doi/10.1177/2333794X231190526"/>
    <hyperlink ref="X73" r:id="rId73" display="https://www.ojs.revistainteracciones.com/index.php/rin/article/view/233"/>
    <hyperlink ref="X74" r:id="rId74" display="https://journals.sagepub.com/doi/abs/10.1177/15404153231163324"/>
    <hyperlink ref="X75" r:id="rId75" display="https://www.cell.com/heliyon/fulltext/S2405-8440(21)01581-4"/>
    <hyperlink ref="X76" r:id="rId76" display="https://doi.org/10.1111/rode.13059"/>
    <hyperlink ref="X77" r:id="rId77" display="https://cdn.www.gob.pe/uploads/document/file/5401851/4831494-la-violencia-contra-la-mujer-en-el-peru-al-2022-un-modelo-ecologico.pdf?v=1699632787"/>
    <hyperlink ref="X78" r:id="rId78" display="https://publications.iadb.org/en/prevalence-violence-against-women-among-different-ethnic-groups-peru"/>
    <hyperlink ref="X79" r:id="rId79" display="https://gatesopenresearch.org/articles/6-102"/>
    <hyperlink ref="X80" r:id="rId80" display="https://www.ssoar.info/ssoar/handle/document/56510"/>
    <hyperlink ref="X81" r:id="rId81" display="https://pmc.ncbi.nlm.nih.gov/articles/PMC5898391/"/>
    <hyperlink ref="X82" r:id="rId82" display="https://iris.paho.org/handle/10665.2/9820"/>
    <hyperlink ref="X83" r:id="rId83" location="citeas" display="https://link.springer.com/article/10.1007/s10896-017-9929-0#citeas"/>
    <hyperlink ref="X84" r:id="rId84" display="https://www.sciencedirect.com/science/article/pii/S2352827318301174"/>
    <hyperlink ref="X85" r:id="rId85" display="https://tesis.pucp.edu.pe/repositorio/handle/20.500.12404/21007"/>
    <hyperlink ref="X86" r:id="rId86" display="https://cies.org.pe/investigacion/que-factores-determinan-la-violencia-domestica-de-pareja-y-su-recurrencia-en-el-peru-fact-violencia/"/>
    <hyperlink ref="X87" r:id="rId87" display="https://cris.usil.edu.pe/es/publications/gender-differences-in-the-factors-associated-with-alcohol-binge-d"/>
    <hyperlink ref="X88" r:id="rId88" display="https://psycnet.apa.org/record/2024-11549-006"/>
    <hyperlink ref="X89" r:id="rId89" display="https://revistasinvestigacion.unmsm.edu.pe/index.php/anales/article/view/830"/>
    <hyperlink ref="X90" r:id="rId90" display="https://revistas.uniandes.edu.co/index.php/dys/article/view/280/9254"/>
    <hyperlink ref="X91" r:id="rId91" display="https://www.grade.org.pe/wp-content/uploads/di80.pdf"/>
    <hyperlink ref="X92" r:id="rId92" display="https://pubmed.ncbi.nlm.nih.gov/39287602/"/>
    <hyperlink ref="X93" r:id="rId93" display="https://journals.lww.com/invn/fulltext/2024/22010/_el_que_ve_y_ayuda___evaluation_of_a_gender_based.6.aspx"/>
    <hyperlink ref="X94" r:id="rId94" display="https://www.grade.org.pe/wp-content/uploads/DiazSaldarriaga_JUNTOSAndIPV_FullVersion.pdf"/>
    <hyperlink ref="X95" r:id="rId95" display="https://cies.org.pe/investigacion/pantallazo-a-la-violencia-de-genero-redes-sociales-y-ciberviolencia-en-relaciones-sexo-afectivas-entre-adolescentes/"/>
    <hyperlink ref="X96" r:id="rId96" display="https://www.norc.org/content/dam/norc-org/pdf2024/gender-based-violence-peru-case-study.pdf"/>
    <hyperlink ref="X97" r:id="rId97" display="https://www.ncbi.nlm.nih.gov/pmc/articles/PMC4568981/"/>
    <hyperlink ref="X98" r:id="rId98" display="https://revistas.pucp.edu.pe/index.php/derechoysociedad/article/view/18888"/>
    <hyperlink ref="X99" r:id="rId99" display="https://cdn.www.gob.pe/uploads/document/file/2935176/Marco-Conceptual-para-la-prevencion-de-la-violencia-de-genero-contra-las-mujeres.pdf"/>
    <hyperlink ref="X100" r:id="rId100" display="https://trialsjournal.biomedcentral.com/articles/10.1186/s13063-022-07004-2"/>
    <hyperlink ref="X101" r:id="rId101" display="https://www.sciencedirect.com/science/article/abs/pii/S0360131516302007"/>
    <hyperlink ref="X102" r:id="rId102" display="https://ejournal.uika-bogor.ac.id/index.php/TEK/article/view/16490/5601"/>
    <hyperlink ref="X103" r:id="rId103" display="https://www.sciencedirect.com/science/article/pii/S1747938X18302902"/>
    <hyperlink ref="X104" r:id="rId104" display="https://link.springer.com/article/10.1007/s10639-021-10775-x"/>
    <hyperlink ref="X105" r:id="rId105" display="https://psycnet.apa.org/record/1992-16290-001"/>
    <hyperlink ref="X106" r:id="rId106" display="https://psycnet.apa.org/buy/2014-15035-001"/>
    <hyperlink ref="X107" r:id="rId107" display="https://doi.org/10.1037/0022-3514.60.5.685"/>
    <hyperlink ref="X108" r:id="rId108" display="https://link.springer.com/article/10.1007/s10212-011-0097-y"/>
    <hyperlink ref="X109" r:id="rId109" display="https://docta.ucm.es/bitstreams/b1df0ed0-406d-4ca9-a82c-727b596ab20c/download"/>
    <hyperlink ref="X110" r:id="rId110" display="https://psycnet.apa.org/buy/2017-56124-001"/>
    <hyperlink ref="X111" r:id="rId111" display="https://psycnet.apa.org/record/2014-21414-001"/>
    <hyperlink ref="X112" r:id="rId112" display="https://www.nber.org/system/files/working_papers/w24351/w24351.pdf"/>
    <hyperlink ref="X113" r:id="rId113" display="https://www.sciencedirect.com/science/article/abs/pii/S0167268124002312?via%3Dihub"/>
    <hyperlink ref="X114" r:id="rId114" display="https://repec.port.ac.uk/EconFinance/PBSEconFin_2024_02.pdf"/>
    <hyperlink ref="X115" r:id="rId115" display="https://papers.ssrn.com/sol3/papers.cfm?abstract_id=4332175"/>
    <hyperlink ref="X116" r:id="rId116" display="https://papers.ssrn.com/sol3/papers.cfm?abstract_id=4714282"/>
    <hyperlink ref="X117" r:id="rId117" display="https://idl-bnc-idrc.dspacedirect.org/bitstreams/10c4eddb-77d8-4e2e-9399-ab6fbc86f297/download"/>
    <hyperlink ref="X118" r:id="rId118" display="https://www.tandfonline.com/doi/abs/10.1080/00220485.2010.486718"/>
    <hyperlink ref="X119" r:id="rId119" display="https://www.frontiersin.org/journals/psychiatry/articles/10.3389/fpsyt.2024.1387032/full"/>
    <hyperlink ref="X120" r:id="rId120" display="https://www.ncbi.nlm.nih.gov/pmc/articles/PMC4012695/"/>
    <hyperlink ref="X121" r:id="rId121" display="https://www.sciencedirect.com/science/article/pii/S0047235210000966"/>
    <hyperlink ref="X122" r:id="rId122" display="https://gh.bmj.com/content/5/5/e002223.abstract"/>
    <hyperlink ref="X123" r:id="rId123" display="https://gh.bmj.com/content/3/5/e000825.abstract"/>
    <hyperlink ref="X124" r:id="rId124" display="https://www.jmir.org/2022/1/e27696/"/>
    <hyperlink ref="X125" r:id="rId125" display="https://link.springer.com/article/10.1186/1471-2458-14-339"/>
    <hyperlink ref="X126" r:id="rId126" display="https://pmc.ncbi.nlm.nih.gov/articles/PMC6818771/"/>
    <hyperlink ref="X127" r:id="rId127" display="https://doi.org/10.1080/14649880600768512"/>
    <hyperlink ref="X128" r:id="rId128" display="https://www.tandfonline.com/doi/abs/10.1080/03057070500493886"/>
    <hyperlink ref="X129" r:id="rId129" display="https://doi.org/10.1111/gwao.12350"/>
    <hyperlink ref="X130" r:id="rId130" display="https://link.springer.com/book/9780333669945"/>
    <hyperlink ref="X131" r:id="rId131" display="https://sci-hub.se/10.1017/S0047279401006262"/>
    <hyperlink ref="X132" r:id="rId132" display="https://www.socialscienceregistry.org/trials/10120"/>
    <hyperlink ref="X133" r:id="rId133" display="https://www.socialscienceregistry.org/trials/12502"/>
    <hyperlink ref="X134" r:id="rId134" display="https://www.socialscienceregistry.org/trials/6180"/>
    <hyperlink ref="X135" r:id="rId135" display="https://publications.iadb.org/es/publications/spanish/viewer/policy-brief-hel-es-sep-4-v2.pdf"/>
    <hyperlink ref="X136" r:id="rId136" display="https://www.socialscienceregistry.org/trials/2629"/>
    <hyperlink ref="X137" r:id="rId137" display="https://cies.org.pe/investigacion/alo-tengo-un-problema-evaluacion-de-impacto-de-la-linea-100-del-ministerio-de-l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8"/>
  <legacyDrawing r:id="rId13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30"/>
    <col collapsed="false" customWidth="true" hidden="false" outlineLevel="0" max="9" min="9" style="0" width="32"/>
  </cols>
  <sheetData>
    <row r="1" customFormat="false" ht="30" hidden="false" customHeight="true" outlineLevel="0" collapsed="false">
      <c r="A1" s="23" t="s">
        <v>23</v>
      </c>
      <c r="B1" s="23" t="s">
        <v>25</v>
      </c>
      <c r="C1" s="23" t="s">
        <v>42</v>
      </c>
      <c r="D1" s="23" t="s">
        <v>50</v>
      </c>
      <c r="E1" s="23" t="s">
        <v>1316</v>
      </c>
      <c r="F1" s="23" t="s">
        <v>1317</v>
      </c>
      <c r="G1" s="23" t="s">
        <v>1318</v>
      </c>
      <c r="I1" s="24" t="s">
        <v>1319</v>
      </c>
    </row>
    <row r="2" customFormat="false" ht="15" hidden="false" customHeight="false" outlineLevel="0" collapsed="false">
      <c r="A2" s="9" t="s">
        <v>32</v>
      </c>
      <c r="B2" s="9" t="s">
        <v>1320</v>
      </c>
      <c r="C2" s="9" t="s">
        <v>64</v>
      </c>
      <c r="D2" s="9" t="s">
        <v>71</v>
      </c>
      <c r="E2" s="9" t="s">
        <v>951</v>
      </c>
      <c r="F2" s="9" t="s">
        <v>591</v>
      </c>
      <c r="G2" s="9" t="s">
        <v>737</v>
      </c>
      <c r="I2" s="9" t="s">
        <v>951</v>
      </c>
    </row>
    <row r="3" customFormat="false" ht="15" hidden="false" customHeight="false" outlineLevel="0" collapsed="false">
      <c r="A3" s="9" t="s">
        <v>1321</v>
      </c>
      <c r="B3" s="9" t="s">
        <v>1322</v>
      </c>
      <c r="C3" s="9" t="s">
        <v>632</v>
      </c>
      <c r="D3" s="9" t="s">
        <v>944</v>
      </c>
      <c r="E3" s="9" t="s">
        <v>121</v>
      </c>
      <c r="F3" s="9" t="s">
        <v>571</v>
      </c>
      <c r="G3" s="9" t="s">
        <v>712</v>
      </c>
      <c r="I3" s="9" t="s">
        <v>121</v>
      </c>
    </row>
    <row r="4" customFormat="false" ht="15" hidden="false" customHeight="false" outlineLevel="0" collapsed="false">
      <c r="A4" s="9" t="s">
        <v>1323</v>
      </c>
      <c r="B4" s="9" t="s">
        <v>1324</v>
      </c>
      <c r="C4" s="9" t="s">
        <v>1325</v>
      </c>
      <c r="D4" s="9" t="s">
        <v>963</v>
      </c>
      <c r="E4" s="9" t="s">
        <v>66</v>
      </c>
      <c r="F4" s="9" t="s">
        <v>471</v>
      </c>
      <c r="G4" s="9" t="s">
        <v>490</v>
      </c>
      <c r="I4" s="9" t="s">
        <v>66</v>
      </c>
    </row>
    <row r="5" customFormat="false" ht="15" hidden="false" customHeight="false" outlineLevel="0" collapsed="false">
      <c r="A5" s="9" t="s">
        <v>1326</v>
      </c>
      <c r="B5" s="9" t="s">
        <v>1327</v>
      </c>
      <c r="D5" s="9" t="s">
        <v>989</v>
      </c>
      <c r="E5" s="9" t="s">
        <v>95</v>
      </c>
      <c r="F5" s="9" t="s">
        <v>534</v>
      </c>
      <c r="G5" s="9" t="s">
        <v>728</v>
      </c>
      <c r="I5" s="9" t="s">
        <v>95</v>
      </c>
    </row>
    <row r="6" customFormat="false" ht="15" hidden="false" customHeight="false" outlineLevel="0" collapsed="false">
      <c r="A6" s="9" t="s">
        <v>1328</v>
      </c>
      <c r="B6" s="9" t="s">
        <v>30</v>
      </c>
      <c r="E6" s="9" t="s">
        <v>552</v>
      </c>
      <c r="G6" s="9" t="s">
        <v>900</v>
      </c>
      <c r="I6" s="9" t="s">
        <v>552</v>
      </c>
    </row>
    <row r="7" customFormat="false" ht="15" hidden="false" customHeight="false" outlineLevel="0" collapsed="false">
      <c r="B7" s="9" t="s">
        <v>1329</v>
      </c>
      <c r="E7" s="9" t="s">
        <v>150</v>
      </c>
      <c r="G7" s="9" t="s">
        <v>684</v>
      </c>
      <c r="I7" s="9" t="s">
        <v>150</v>
      </c>
    </row>
    <row r="8" customFormat="false" ht="15" hidden="false" customHeight="false" outlineLevel="0" collapsed="false">
      <c r="B8" s="9" t="s">
        <v>1330</v>
      </c>
      <c r="E8" s="9" t="s">
        <v>161</v>
      </c>
      <c r="G8" s="9" t="s">
        <v>523</v>
      </c>
      <c r="I8" s="9" t="s">
        <v>161</v>
      </c>
    </row>
    <row r="9" customFormat="false" ht="15" hidden="false" customHeight="false" outlineLevel="0" collapsed="false">
      <c r="B9" s="9" t="s">
        <v>1331</v>
      </c>
      <c r="G9" s="9" t="s">
        <v>1303</v>
      </c>
      <c r="I9" s="9" t="s">
        <v>591</v>
      </c>
    </row>
    <row r="10" customFormat="false" ht="15" hidden="false" customHeight="false" outlineLevel="0" collapsed="false">
      <c r="B10" s="9" t="s">
        <v>1332</v>
      </c>
      <c r="I10" s="9" t="s">
        <v>571</v>
      </c>
    </row>
    <row r="11" customFormat="false" ht="15" hidden="false" customHeight="false" outlineLevel="0" collapsed="false">
      <c r="B11" s="9" t="s">
        <v>1333</v>
      </c>
      <c r="I11" s="9" t="s">
        <v>471</v>
      </c>
    </row>
    <row r="12" customFormat="false" ht="15" hidden="false" customHeight="false" outlineLevel="0" collapsed="false">
      <c r="B12" s="9" t="s">
        <v>1334</v>
      </c>
      <c r="I12" s="9" t="s">
        <v>534</v>
      </c>
    </row>
    <row r="13" customFormat="false" ht="15" hidden="false" customHeight="false" outlineLevel="0" collapsed="false">
      <c r="I13" s="9" t="s">
        <v>737</v>
      </c>
    </row>
    <row r="14" customFormat="false" ht="15" hidden="false" customHeight="false" outlineLevel="0" collapsed="false">
      <c r="I14" s="9" t="s">
        <v>712</v>
      </c>
    </row>
    <row r="15" customFormat="false" ht="15" hidden="false" customHeight="false" outlineLevel="0" collapsed="false">
      <c r="I15" s="9" t="s">
        <v>490</v>
      </c>
    </row>
    <row r="16" customFormat="false" ht="15" hidden="false" customHeight="false" outlineLevel="0" collapsed="false">
      <c r="I16" s="9" t="s">
        <v>728</v>
      </c>
    </row>
    <row r="17" customFormat="false" ht="15" hidden="false" customHeight="false" outlineLevel="0" collapsed="false">
      <c r="I17" s="9" t="s">
        <v>900</v>
      </c>
    </row>
    <row r="18" customFormat="false" ht="15" hidden="false" customHeight="false" outlineLevel="0" collapsed="false">
      <c r="I18" s="9" t="s">
        <v>684</v>
      </c>
    </row>
    <row r="19" customFormat="false" ht="15" hidden="false" customHeight="false" outlineLevel="0" collapsed="false">
      <c r="I19" s="9" t="s">
        <v>523</v>
      </c>
    </row>
    <row r="20" customFormat="false" ht="15" hidden="false" customHeight="false" outlineLevel="0" collapsed="false">
      <c r="I20" s="9" t="s">
        <v>1303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4" min="3" style="0" width="55"/>
    <col collapsed="false" customWidth="true" hidden="false" outlineLevel="0" max="5" min="5" style="0" width="50"/>
  </cols>
  <sheetData>
    <row r="1" customFormat="false" ht="15" hidden="false" customHeight="false" outlineLevel="0" collapsed="false">
      <c r="A1" s="25" t="s">
        <v>41</v>
      </c>
      <c r="B1" s="25" t="s">
        <v>1335</v>
      </c>
      <c r="C1" s="25" t="s">
        <v>1336</v>
      </c>
      <c r="D1" s="25" t="s">
        <v>1337</v>
      </c>
      <c r="E1" s="25" t="s">
        <v>1338</v>
      </c>
    </row>
    <row r="2" customFormat="false" ht="23.85" hidden="false" customHeight="false" outlineLevel="0" collapsed="false">
      <c r="A2" s="14" t="n">
        <v>1</v>
      </c>
      <c r="B2" s="14" t="s">
        <v>49</v>
      </c>
      <c r="C2" s="14" t="s">
        <v>1339</v>
      </c>
      <c r="D2" s="14" t="s">
        <v>70</v>
      </c>
      <c r="E2" s="14" t="s">
        <v>1340</v>
      </c>
    </row>
    <row r="3" customFormat="false" ht="46.25" hidden="false" customHeight="false" outlineLevel="0" collapsed="false">
      <c r="A3" s="14" t="n">
        <v>2</v>
      </c>
      <c r="B3" s="14" t="s">
        <v>47</v>
      </c>
      <c r="C3" s="14" t="s">
        <v>1341</v>
      </c>
      <c r="D3" s="14" t="s">
        <v>82</v>
      </c>
      <c r="E3" s="14" t="s">
        <v>1342</v>
      </c>
    </row>
    <row r="4" customFormat="false" ht="23.85" hidden="false" customHeight="false" outlineLevel="0" collapsed="false">
      <c r="A4" s="14" t="n">
        <v>2</v>
      </c>
      <c r="B4" s="14" t="s">
        <v>49</v>
      </c>
      <c r="C4" s="14" t="s">
        <v>1339</v>
      </c>
      <c r="D4" s="14" t="s">
        <v>70</v>
      </c>
      <c r="E4" s="14" t="s">
        <v>1340</v>
      </c>
    </row>
    <row r="5" customFormat="false" ht="35.05" hidden="false" customHeight="false" outlineLevel="0" collapsed="false">
      <c r="A5" s="14" t="n">
        <v>3</v>
      </c>
      <c r="B5" s="14" t="s">
        <v>28</v>
      </c>
      <c r="C5" s="14" t="s">
        <v>1343</v>
      </c>
      <c r="D5" s="14" t="s">
        <v>96</v>
      </c>
      <c r="E5" s="14" t="s">
        <v>1344</v>
      </c>
    </row>
    <row r="6" customFormat="false" ht="23.85" hidden="false" customHeight="false" outlineLevel="0" collapsed="false">
      <c r="A6" s="14" t="n">
        <v>3</v>
      </c>
      <c r="B6" s="14" t="s">
        <v>47</v>
      </c>
      <c r="C6" s="14" t="s">
        <v>1345</v>
      </c>
      <c r="D6" s="14" t="s">
        <v>97</v>
      </c>
      <c r="E6" s="14" t="s">
        <v>1342</v>
      </c>
    </row>
    <row r="7" customFormat="false" ht="23.85" hidden="false" customHeight="false" outlineLevel="0" collapsed="false">
      <c r="A7" s="14" t="n">
        <v>3</v>
      </c>
      <c r="B7" s="14" t="s">
        <v>49</v>
      </c>
      <c r="C7" s="14" t="s">
        <v>1339</v>
      </c>
      <c r="D7" s="14" t="s">
        <v>70</v>
      </c>
      <c r="E7" s="14" t="s">
        <v>1340</v>
      </c>
    </row>
    <row r="8" customFormat="false" ht="35.05" hidden="false" customHeight="false" outlineLevel="0" collapsed="false">
      <c r="A8" s="14" t="n">
        <v>4</v>
      </c>
      <c r="B8" s="14" t="s">
        <v>47</v>
      </c>
      <c r="C8" s="14" t="s">
        <v>1346</v>
      </c>
      <c r="D8" s="14" t="s">
        <v>109</v>
      </c>
      <c r="E8" s="14" t="s">
        <v>1342</v>
      </c>
    </row>
    <row r="9" customFormat="false" ht="23.85" hidden="false" customHeight="false" outlineLevel="0" collapsed="false">
      <c r="A9" s="14" t="n">
        <v>4</v>
      </c>
      <c r="B9" s="14" t="s">
        <v>49</v>
      </c>
      <c r="C9" s="14" t="s">
        <v>1339</v>
      </c>
      <c r="D9" s="14" t="s">
        <v>70</v>
      </c>
      <c r="E9" s="14" t="s">
        <v>1340</v>
      </c>
    </row>
    <row r="10" customFormat="false" ht="23.85" hidden="false" customHeight="false" outlineLevel="0" collapsed="false">
      <c r="A10" s="14" t="n">
        <v>5</v>
      </c>
      <c r="B10" s="14" t="s">
        <v>49</v>
      </c>
      <c r="C10" s="14" t="s">
        <v>1339</v>
      </c>
      <c r="D10" s="14" t="s">
        <v>70</v>
      </c>
      <c r="E10" s="14" t="s">
        <v>1340</v>
      </c>
    </row>
    <row r="11" customFormat="false" ht="23.85" hidden="false" customHeight="false" outlineLevel="0" collapsed="false">
      <c r="A11" s="14" t="n">
        <v>6</v>
      </c>
      <c r="B11" s="14" t="s">
        <v>49</v>
      </c>
      <c r="C11" s="14" t="s">
        <v>1339</v>
      </c>
      <c r="D11" s="14" t="s">
        <v>70</v>
      </c>
      <c r="E11" s="14" t="s">
        <v>1340</v>
      </c>
    </row>
    <row r="12" customFormat="false" ht="23.85" hidden="false" customHeight="false" outlineLevel="0" collapsed="false">
      <c r="A12" s="14" t="n">
        <v>7</v>
      </c>
      <c r="B12" s="14" t="s">
        <v>49</v>
      </c>
      <c r="C12" s="14" t="s">
        <v>1339</v>
      </c>
      <c r="D12" s="14" t="s">
        <v>70</v>
      </c>
      <c r="E12" s="14" t="s">
        <v>1340</v>
      </c>
    </row>
    <row r="13" customFormat="false" ht="23.85" hidden="false" customHeight="false" outlineLevel="0" collapsed="false">
      <c r="A13" s="14" t="n">
        <v>8</v>
      </c>
      <c r="B13" s="14" t="s">
        <v>47</v>
      </c>
      <c r="C13" s="14" t="s">
        <v>1347</v>
      </c>
      <c r="D13" s="14" t="s">
        <v>152</v>
      </c>
      <c r="E13" s="14" t="s">
        <v>1342</v>
      </c>
    </row>
    <row r="14" customFormat="false" ht="23.85" hidden="false" customHeight="false" outlineLevel="0" collapsed="false">
      <c r="A14" s="14" t="n">
        <v>8</v>
      </c>
      <c r="B14" s="14" t="s">
        <v>49</v>
      </c>
      <c r="C14" s="14" t="s">
        <v>1339</v>
      </c>
      <c r="D14" s="14" t="s">
        <v>70</v>
      </c>
      <c r="E14" s="14" t="s">
        <v>1340</v>
      </c>
    </row>
    <row r="15" customFormat="false" ht="23.85" hidden="false" customHeight="false" outlineLevel="0" collapsed="false">
      <c r="A15" s="14" t="n">
        <v>9</v>
      </c>
      <c r="B15" s="14" t="s">
        <v>47</v>
      </c>
      <c r="C15" s="14" t="s">
        <v>1348</v>
      </c>
      <c r="D15" s="14" t="s">
        <v>163</v>
      </c>
      <c r="E15" s="14" t="s">
        <v>1342</v>
      </c>
    </row>
    <row r="16" customFormat="false" ht="23.85" hidden="false" customHeight="false" outlineLevel="0" collapsed="false">
      <c r="A16" s="14" t="n">
        <v>9</v>
      </c>
      <c r="B16" s="14" t="s">
        <v>49</v>
      </c>
      <c r="C16" s="14" t="s">
        <v>1339</v>
      </c>
      <c r="D16" s="14" t="s">
        <v>70</v>
      </c>
      <c r="E16" s="14" t="s">
        <v>1340</v>
      </c>
    </row>
    <row r="17" customFormat="false" ht="23.85" hidden="false" customHeight="false" outlineLevel="0" collapsed="false">
      <c r="A17" s="14" t="n">
        <v>10</v>
      </c>
      <c r="B17" s="14" t="s">
        <v>49</v>
      </c>
      <c r="C17" s="14" t="s">
        <v>1339</v>
      </c>
      <c r="D17" s="14" t="s">
        <v>70</v>
      </c>
      <c r="E17" s="14" t="s">
        <v>1340</v>
      </c>
    </row>
    <row r="18" customFormat="false" ht="23.85" hidden="false" customHeight="false" outlineLevel="0" collapsed="false">
      <c r="A18" s="14" t="n">
        <v>11</v>
      </c>
      <c r="B18" s="14" t="s">
        <v>49</v>
      </c>
      <c r="C18" s="14" t="s">
        <v>1339</v>
      </c>
      <c r="D18" s="14" t="s">
        <v>70</v>
      </c>
      <c r="E18" s="14" t="s">
        <v>1340</v>
      </c>
    </row>
    <row r="19" customFormat="false" ht="35.05" hidden="false" customHeight="false" outlineLevel="0" collapsed="false">
      <c r="A19" s="14" t="n">
        <v>12</v>
      </c>
      <c r="B19" s="14" t="s">
        <v>47</v>
      </c>
      <c r="C19" s="14" t="s">
        <v>1349</v>
      </c>
      <c r="D19" s="14" t="s">
        <v>192</v>
      </c>
      <c r="E19" s="14" t="s">
        <v>1342</v>
      </c>
    </row>
    <row r="20" customFormat="false" ht="23.85" hidden="false" customHeight="false" outlineLevel="0" collapsed="false">
      <c r="A20" s="14" t="n">
        <v>12</v>
      </c>
      <c r="B20" s="14" t="s">
        <v>49</v>
      </c>
      <c r="C20" s="14" t="s">
        <v>1339</v>
      </c>
      <c r="D20" s="14" t="s">
        <v>70</v>
      </c>
      <c r="E20" s="14" t="s">
        <v>1340</v>
      </c>
    </row>
    <row r="21" customFormat="false" ht="23.85" hidden="false" customHeight="false" outlineLevel="0" collapsed="false">
      <c r="A21" s="14" t="n">
        <v>13</v>
      </c>
      <c r="B21" s="14" t="s">
        <v>47</v>
      </c>
      <c r="C21" s="14" t="s">
        <v>1350</v>
      </c>
      <c r="D21" s="14" t="s">
        <v>201</v>
      </c>
      <c r="E21" s="14" t="s">
        <v>1342</v>
      </c>
    </row>
    <row r="22" customFormat="false" ht="23.85" hidden="false" customHeight="false" outlineLevel="0" collapsed="false">
      <c r="A22" s="14" t="n">
        <v>13</v>
      </c>
      <c r="B22" s="14" t="s">
        <v>49</v>
      </c>
      <c r="C22" s="14" t="s">
        <v>1339</v>
      </c>
      <c r="D22" s="14" t="s">
        <v>70</v>
      </c>
      <c r="E22" s="14" t="s">
        <v>1340</v>
      </c>
    </row>
    <row r="23" customFormat="false" ht="35.05" hidden="false" customHeight="false" outlineLevel="0" collapsed="false">
      <c r="A23" s="14" t="n">
        <v>14</v>
      </c>
      <c r="B23" s="14" t="s">
        <v>47</v>
      </c>
      <c r="C23" s="14" t="s">
        <v>1351</v>
      </c>
      <c r="D23" s="14" t="s">
        <v>210</v>
      </c>
      <c r="E23" s="14" t="s">
        <v>1342</v>
      </c>
    </row>
    <row r="24" customFormat="false" ht="23.85" hidden="false" customHeight="false" outlineLevel="0" collapsed="false">
      <c r="A24" s="14" t="n">
        <v>14</v>
      </c>
      <c r="B24" s="14" t="s">
        <v>49</v>
      </c>
      <c r="C24" s="14" t="s">
        <v>1339</v>
      </c>
      <c r="D24" s="14" t="s">
        <v>70</v>
      </c>
      <c r="E24" s="14" t="s">
        <v>1340</v>
      </c>
    </row>
    <row r="25" customFormat="false" ht="23.85" hidden="false" customHeight="false" outlineLevel="0" collapsed="false">
      <c r="A25" s="14" t="n">
        <v>15</v>
      </c>
      <c r="B25" s="14" t="s">
        <v>49</v>
      </c>
      <c r="C25" s="14" t="s">
        <v>1339</v>
      </c>
      <c r="D25" s="14" t="s">
        <v>70</v>
      </c>
      <c r="E25" s="14" t="s">
        <v>1340</v>
      </c>
    </row>
    <row r="26" customFormat="false" ht="23.85" hidden="false" customHeight="false" outlineLevel="0" collapsed="false">
      <c r="A26" s="14" t="n">
        <v>16</v>
      </c>
      <c r="B26" s="14" t="s">
        <v>47</v>
      </c>
      <c r="C26" s="14" t="s">
        <v>1352</v>
      </c>
      <c r="D26" s="14" t="s">
        <v>236</v>
      </c>
      <c r="E26" s="14" t="s">
        <v>1342</v>
      </c>
    </row>
    <row r="27" customFormat="false" ht="23.85" hidden="false" customHeight="false" outlineLevel="0" collapsed="false">
      <c r="A27" s="14" t="n">
        <v>16</v>
      </c>
      <c r="B27" s="14" t="s">
        <v>49</v>
      </c>
      <c r="C27" s="14" t="s">
        <v>1339</v>
      </c>
      <c r="D27" s="14" t="s">
        <v>70</v>
      </c>
      <c r="E27" s="14" t="s">
        <v>1340</v>
      </c>
    </row>
    <row r="28" customFormat="false" ht="23.85" hidden="false" customHeight="false" outlineLevel="0" collapsed="false">
      <c r="A28" s="14" t="n">
        <v>17</v>
      </c>
      <c r="B28" s="14" t="s">
        <v>49</v>
      </c>
      <c r="C28" s="14" t="s">
        <v>1339</v>
      </c>
      <c r="D28" s="14" t="s">
        <v>70</v>
      </c>
      <c r="E28" s="14" t="s">
        <v>1340</v>
      </c>
    </row>
    <row r="29" customFormat="false" ht="23.85" hidden="false" customHeight="false" outlineLevel="0" collapsed="false">
      <c r="A29" s="14" t="n">
        <v>18</v>
      </c>
      <c r="B29" s="14" t="s">
        <v>49</v>
      </c>
      <c r="C29" s="14" t="s">
        <v>1339</v>
      </c>
      <c r="D29" s="14" t="s">
        <v>70</v>
      </c>
      <c r="E29" s="14" t="s">
        <v>1340</v>
      </c>
    </row>
    <row r="30" customFormat="false" ht="23.85" hidden="false" customHeight="false" outlineLevel="0" collapsed="false">
      <c r="A30" s="14" t="n">
        <v>19</v>
      </c>
      <c r="B30" s="14" t="s">
        <v>49</v>
      </c>
      <c r="C30" s="14" t="s">
        <v>1339</v>
      </c>
      <c r="D30" s="14" t="s">
        <v>70</v>
      </c>
      <c r="E30" s="14" t="s">
        <v>1340</v>
      </c>
    </row>
    <row r="31" customFormat="false" ht="23.85" hidden="false" customHeight="false" outlineLevel="0" collapsed="false">
      <c r="A31" s="14" t="n">
        <v>20</v>
      </c>
      <c r="B31" s="14" t="s">
        <v>49</v>
      </c>
      <c r="C31" s="14" t="s">
        <v>1339</v>
      </c>
      <c r="D31" s="14" t="s">
        <v>70</v>
      </c>
      <c r="E31" s="14" t="s">
        <v>1340</v>
      </c>
    </row>
    <row r="32" customFormat="false" ht="23.85" hidden="false" customHeight="false" outlineLevel="0" collapsed="false">
      <c r="A32" s="14" t="n">
        <v>21</v>
      </c>
      <c r="B32" s="14" t="s">
        <v>47</v>
      </c>
      <c r="C32" s="14" t="s">
        <v>1353</v>
      </c>
      <c r="D32" s="14" t="s">
        <v>280</v>
      </c>
      <c r="E32" s="14" t="s">
        <v>1342</v>
      </c>
    </row>
    <row r="33" customFormat="false" ht="23.85" hidden="false" customHeight="false" outlineLevel="0" collapsed="false">
      <c r="A33" s="14" t="n">
        <v>21</v>
      </c>
      <c r="B33" s="14" t="s">
        <v>49</v>
      </c>
      <c r="C33" s="14" t="s">
        <v>1339</v>
      </c>
      <c r="D33" s="14" t="s">
        <v>70</v>
      </c>
      <c r="E33" s="14" t="s">
        <v>1340</v>
      </c>
    </row>
    <row r="34" customFormat="false" ht="46.25" hidden="false" customHeight="false" outlineLevel="0" collapsed="false">
      <c r="A34" s="14" t="n">
        <v>22</v>
      </c>
      <c r="B34" s="14" t="s">
        <v>47</v>
      </c>
      <c r="C34" s="14" t="s">
        <v>1354</v>
      </c>
      <c r="D34" s="14" t="s">
        <v>289</v>
      </c>
      <c r="E34" s="14" t="s">
        <v>1342</v>
      </c>
    </row>
    <row r="35" customFormat="false" ht="23.85" hidden="false" customHeight="false" outlineLevel="0" collapsed="false">
      <c r="A35" s="14" t="n">
        <v>22</v>
      </c>
      <c r="B35" s="14" t="s">
        <v>49</v>
      </c>
      <c r="C35" s="14" t="s">
        <v>1339</v>
      </c>
      <c r="D35" s="14" t="s">
        <v>70</v>
      </c>
      <c r="E35" s="14" t="s">
        <v>1340</v>
      </c>
    </row>
    <row r="36" customFormat="false" ht="57.45" hidden="false" customHeight="false" outlineLevel="0" collapsed="false">
      <c r="A36" s="14" t="n">
        <v>23</v>
      </c>
      <c r="B36" s="14" t="s">
        <v>47</v>
      </c>
      <c r="C36" s="14" t="s">
        <v>1355</v>
      </c>
      <c r="D36" s="14" t="s">
        <v>299</v>
      </c>
      <c r="E36" s="14" t="s">
        <v>1342</v>
      </c>
    </row>
    <row r="37" customFormat="false" ht="23.85" hidden="false" customHeight="false" outlineLevel="0" collapsed="false">
      <c r="A37" s="14" t="n">
        <v>23</v>
      </c>
      <c r="B37" s="14" t="s">
        <v>49</v>
      </c>
      <c r="C37" s="14" t="s">
        <v>1339</v>
      </c>
      <c r="D37" s="14" t="s">
        <v>70</v>
      </c>
      <c r="E37" s="14" t="s">
        <v>1340</v>
      </c>
    </row>
    <row r="38" customFormat="false" ht="91" hidden="false" customHeight="false" outlineLevel="0" collapsed="false">
      <c r="A38" s="14" t="n">
        <v>24</v>
      </c>
      <c r="B38" s="14" t="s">
        <v>47</v>
      </c>
      <c r="C38" s="14" t="s">
        <v>1356</v>
      </c>
      <c r="D38" s="14" t="s">
        <v>308</v>
      </c>
      <c r="E38" s="14" t="s">
        <v>1342</v>
      </c>
    </row>
    <row r="39" customFormat="false" ht="23.85" hidden="false" customHeight="false" outlineLevel="0" collapsed="false">
      <c r="A39" s="14" t="n">
        <v>24</v>
      </c>
      <c r="B39" s="14" t="s">
        <v>49</v>
      </c>
      <c r="C39" s="14" t="s">
        <v>1339</v>
      </c>
      <c r="D39" s="14" t="s">
        <v>70</v>
      </c>
      <c r="E39" s="14" t="s">
        <v>1340</v>
      </c>
    </row>
    <row r="40" customFormat="false" ht="23.85" hidden="false" customHeight="false" outlineLevel="0" collapsed="false">
      <c r="A40" s="14" t="n">
        <v>25</v>
      </c>
      <c r="B40" s="14" t="s">
        <v>49</v>
      </c>
      <c r="C40" s="14" t="s">
        <v>1339</v>
      </c>
      <c r="D40" s="14" t="s">
        <v>70</v>
      </c>
      <c r="E40" s="14" t="s">
        <v>1340</v>
      </c>
    </row>
    <row r="41" customFormat="false" ht="35.05" hidden="false" customHeight="false" outlineLevel="0" collapsed="false">
      <c r="A41" s="14" t="n">
        <v>26</v>
      </c>
      <c r="B41" s="14" t="s">
        <v>47</v>
      </c>
      <c r="C41" s="14" t="s">
        <v>1357</v>
      </c>
      <c r="D41" s="14" t="s">
        <v>326</v>
      </c>
      <c r="E41" s="14" t="s">
        <v>1342</v>
      </c>
    </row>
    <row r="42" customFormat="false" ht="23.85" hidden="false" customHeight="false" outlineLevel="0" collapsed="false">
      <c r="A42" s="14" t="n">
        <v>26</v>
      </c>
      <c r="B42" s="14" t="s">
        <v>49</v>
      </c>
      <c r="C42" s="14" t="s">
        <v>1339</v>
      </c>
      <c r="D42" s="14" t="s">
        <v>70</v>
      </c>
      <c r="E42" s="14" t="s">
        <v>1340</v>
      </c>
    </row>
    <row r="43" customFormat="false" ht="23.85" hidden="false" customHeight="false" outlineLevel="0" collapsed="false">
      <c r="A43" s="14" t="n">
        <v>27</v>
      </c>
      <c r="B43" s="14" t="s">
        <v>49</v>
      </c>
      <c r="C43" s="14" t="s">
        <v>1339</v>
      </c>
      <c r="D43" s="14" t="s">
        <v>70</v>
      </c>
      <c r="E43" s="14" t="s">
        <v>1340</v>
      </c>
    </row>
    <row r="44" customFormat="false" ht="23.85" hidden="false" customHeight="false" outlineLevel="0" collapsed="false">
      <c r="A44" s="14" t="n">
        <v>28</v>
      </c>
      <c r="B44" s="14" t="s">
        <v>49</v>
      </c>
      <c r="C44" s="14" t="s">
        <v>1339</v>
      </c>
      <c r="D44" s="14" t="s">
        <v>70</v>
      </c>
      <c r="E44" s="14" t="s">
        <v>1340</v>
      </c>
    </row>
    <row r="45" customFormat="false" ht="23.85" hidden="false" customHeight="false" outlineLevel="0" collapsed="false">
      <c r="A45" s="14" t="n">
        <v>29</v>
      </c>
      <c r="B45" s="14" t="s">
        <v>49</v>
      </c>
      <c r="C45" s="14" t="s">
        <v>1339</v>
      </c>
      <c r="D45" s="14" t="s">
        <v>70</v>
      </c>
      <c r="E45" s="14" t="s">
        <v>1340</v>
      </c>
    </row>
    <row r="46" customFormat="false" ht="35.05" hidden="false" customHeight="false" outlineLevel="0" collapsed="false">
      <c r="A46" s="14" t="n">
        <v>30</v>
      </c>
      <c r="B46" s="14" t="s">
        <v>47</v>
      </c>
      <c r="C46" s="14" t="s">
        <v>1358</v>
      </c>
      <c r="D46" s="14" t="s">
        <v>361</v>
      </c>
      <c r="E46" s="14" t="s">
        <v>1342</v>
      </c>
    </row>
    <row r="47" customFormat="false" ht="23.85" hidden="false" customHeight="false" outlineLevel="0" collapsed="false">
      <c r="A47" s="14" t="n">
        <v>30</v>
      </c>
      <c r="B47" s="14" t="s">
        <v>49</v>
      </c>
      <c r="C47" s="14" t="s">
        <v>1339</v>
      </c>
      <c r="D47" s="14" t="s">
        <v>70</v>
      </c>
      <c r="E47" s="14" t="s">
        <v>1340</v>
      </c>
    </row>
    <row r="48" customFormat="false" ht="23.85" hidden="false" customHeight="false" outlineLevel="0" collapsed="false">
      <c r="A48" s="14" t="n">
        <v>31</v>
      </c>
      <c r="B48" s="14" t="s">
        <v>47</v>
      </c>
      <c r="C48" s="14" t="s">
        <v>1359</v>
      </c>
      <c r="D48" s="14" t="s">
        <v>368</v>
      </c>
      <c r="E48" s="14" t="s">
        <v>1342</v>
      </c>
    </row>
    <row r="49" customFormat="false" ht="23.85" hidden="false" customHeight="false" outlineLevel="0" collapsed="false">
      <c r="A49" s="14" t="n">
        <v>31</v>
      </c>
      <c r="B49" s="14" t="s">
        <v>49</v>
      </c>
      <c r="C49" s="14" t="s">
        <v>1339</v>
      </c>
      <c r="D49" s="14" t="s">
        <v>70</v>
      </c>
      <c r="E49" s="14" t="s">
        <v>1340</v>
      </c>
    </row>
    <row r="50" customFormat="false" ht="35.05" hidden="false" customHeight="false" outlineLevel="0" collapsed="false">
      <c r="A50" s="14" t="n">
        <v>32</v>
      </c>
      <c r="B50" s="14" t="s">
        <v>47</v>
      </c>
      <c r="C50" s="14" t="s">
        <v>1360</v>
      </c>
      <c r="D50" s="14" t="s">
        <v>377</v>
      </c>
      <c r="E50" s="14" t="s">
        <v>1342</v>
      </c>
    </row>
    <row r="51" customFormat="false" ht="23.85" hidden="false" customHeight="false" outlineLevel="0" collapsed="false">
      <c r="A51" s="14" t="n">
        <v>32</v>
      </c>
      <c r="B51" s="14" t="s">
        <v>49</v>
      </c>
      <c r="C51" s="14" t="s">
        <v>1339</v>
      </c>
      <c r="D51" s="14" t="s">
        <v>70</v>
      </c>
      <c r="E51" s="14" t="s">
        <v>1340</v>
      </c>
    </row>
    <row r="52" customFormat="false" ht="35.05" hidden="false" customHeight="false" outlineLevel="0" collapsed="false">
      <c r="A52" s="14" t="n">
        <v>33</v>
      </c>
      <c r="B52" s="14" t="s">
        <v>28</v>
      </c>
      <c r="C52" s="14" t="s">
        <v>1361</v>
      </c>
      <c r="D52" s="14" t="s">
        <v>384</v>
      </c>
      <c r="E52" s="14" t="s">
        <v>1344</v>
      </c>
    </row>
    <row r="53" customFormat="false" ht="23.85" hidden="false" customHeight="false" outlineLevel="0" collapsed="false">
      <c r="A53" s="14" t="n">
        <v>33</v>
      </c>
      <c r="B53" s="14" t="s">
        <v>49</v>
      </c>
      <c r="C53" s="14" t="s">
        <v>1339</v>
      </c>
      <c r="D53" s="14" t="s">
        <v>70</v>
      </c>
      <c r="E53" s="14" t="s">
        <v>1340</v>
      </c>
    </row>
    <row r="54" customFormat="false" ht="23.85" hidden="false" customHeight="false" outlineLevel="0" collapsed="false">
      <c r="A54" s="14" t="n">
        <v>34</v>
      </c>
      <c r="B54" s="14" t="s">
        <v>47</v>
      </c>
      <c r="C54" s="14" t="s">
        <v>1362</v>
      </c>
      <c r="D54" s="14" t="s">
        <v>393</v>
      </c>
      <c r="E54" s="14" t="s">
        <v>1342</v>
      </c>
    </row>
    <row r="55" customFormat="false" ht="23.85" hidden="false" customHeight="false" outlineLevel="0" collapsed="false">
      <c r="A55" s="14" t="n">
        <v>34</v>
      </c>
      <c r="B55" s="14" t="s">
        <v>49</v>
      </c>
      <c r="C55" s="14" t="s">
        <v>1339</v>
      </c>
      <c r="D55" s="14" t="s">
        <v>70</v>
      </c>
      <c r="E55" s="14" t="s">
        <v>1340</v>
      </c>
    </row>
    <row r="56" customFormat="false" ht="23.85" hidden="false" customHeight="false" outlineLevel="0" collapsed="false">
      <c r="A56" s="14" t="n">
        <v>35</v>
      </c>
      <c r="B56" s="14" t="s">
        <v>28</v>
      </c>
      <c r="C56" s="14" t="s">
        <v>1363</v>
      </c>
      <c r="D56" s="14" t="s">
        <v>401</v>
      </c>
      <c r="E56" s="14" t="s">
        <v>1344</v>
      </c>
    </row>
    <row r="57" customFormat="false" ht="23.85" hidden="false" customHeight="false" outlineLevel="0" collapsed="false">
      <c r="A57" s="14" t="n">
        <v>35</v>
      </c>
      <c r="B57" s="14" t="s">
        <v>49</v>
      </c>
      <c r="C57" s="14" t="s">
        <v>1339</v>
      </c>
      <c r="D57" s="14" t="s">
        <v>70</v>
      </c>
      <c r="E57" s="14" t="s">
        <v>1340</v>
      </c>
    </row>
    <row r="58" customFormat="false" ht="23.85" hidden="false" customHeight="false" outlineLevel="0" collapsed="false">
      <c r="A58" s="14" t="n">
        <v>36</v>
      </c>
      <c r="B58" s="14" t="s">
        <v>49</v>
      </c>
      <c r="C58" s="14" t="s">
        <v>1339</v>
      </c>
      <c r="D58" s="14" t="s">
        <v>70</v>
      </c>
      <c r="E58" s="14" t="s">
        <v>1340</v>
      </c>
    </row>
    <row r="59" customFormat="false" ht="23.85" hidden="false" customHeight="false" outlineLevel="0" collapsed="false">
      <c r="A59" s="14" t="n">
        <v>37</v>
      </c>
      <c r="B59" s="14" t="s">
        <v>47</v>
      </c>
      <c r="C59" s="14" t="s">
        <v>1364</v>
      </c>
      <c r="D59" s="14" t="s">
        <v>420</v>
      </c>
      <c r="E59" s="14" t="s">
        <v>1342</v>
      </c>
    </row>
    <row r="60" customFormat="false" ht="23.85" hidden="false" customHeight="false" outlineLevel="0" collapsed="false">
      <c r="A60" s="14" t="n">
        <v>37</v>
      </c>
      <c r="B60" s="14" t="s">
        <v>49</v>
      </c>
      <c r="C60" s="14" t="s">
        <v>1339</v>
      </c>
      <c r="D60" s="14" t="s">
        <v>70</v>
      </c>
      <c r="E60" s="14" t="s">
        <v>1340</v>
      </c>
    </row>
    <row r="61" customFormat="false" ht="15" hidden="false" customHeight="false" outlineLevel="0" collapsed="false">
      <c r="A61" s="14" t="n">
        <v>38</v>
      </c>
      <c r="B61" s="14" t="s">
        <v>46</v>
      </c>
      <c r="C61" s="14" t="s">
        <v>1365</v>
      </c>
      <c r="D61" s="14" t="s">
        <v>428</v>
      </c>
      <c r="E61" s="14" t="s">
        <v>1366</v>
      </c>
    </row>
    <row r="62" customFormat="false" ht="23.85" hidden="false" customHeight="false" outlineLevel="0" collapsed="false">
      <c r="A62" s="14" t="n">
        <v>38</v>
      </c>
      <c r="B62" s="14" t="s">
        <v>49</v>
      </c>
      <c r="C62" s="14" t="s">
        <v>1339</v>
      </c>
      <c r="D62" s="14" t="s">
        <v>70</v>
      </c>
      <c r="E62" s="14" t="s">
        <v>1340</v>
      </c>
    </row>
    <row r="63" customFormat="false" ht="15" hidden="false" customHeight="false" outlineLevel="0" collapsed="false">
      <c r="A63" s="14" t="n">
        <v>39</v>
      </c>
      <c r="B63" s="14" t="s">
        <v>46</v>
      </c>
      <c r="C63" s="14" t="s">
        <v>1365</v>
      </c>
      <c r="D63" s="14" t="s">
        <v>428</v>
      </c>
      <c r="E63" s="14" t="s">
        <v>1366</v>
      </c>
    </row>
    <row r="64" customFormat="false" ht="23.85" hidden="false" customHeight="false" outlineLevel="0" collapsed="false">
      <c r="A64" s="14" t="n">
        <v>39</v>
      </c>
      <c r="B64" s="14" t="s">
        <v>49</v>
      </c>
      <c r="C64" s="14" t="s">
        <v>1339</v>
      </c>
      <c r="D64" s="14" t="s">
        <v>70</v>
      </c>
      <c r="E64" s="14" t="s">
        <v>1340</v>
      </c>
    </row>
    <row r="65" customFormat="false" ht="46.25" hidden="false" customHeight="false" outlineLevel="0" collapsed="false">
      <c r="A65" s="14" t="n">
        <v>40</v>
      </c>
      <c r="B65" s="14" t="s">
        <v>47</v>
      </c>
      <c r="C65" s="14" t="s">
        <v>1367</v>
      </c>
      <c r="D65" s="14" t="s">
        <v>442</v>
      </c>
      <c r="E65" s="14" t="s">
        <v>1342</v>
      </c>
    </row>
    <row r="66" customFormat="false" ht="23.85" hidden="false" customHeight="false" outlineLevel="0" collapsed="false">
      <c r="A66" s="14" t="n">
        <v>40</v>
      </c>
      <c r="B66" s="14" t="s">
        <v>49</v>
      </c>
      <c r="C66" s="14" t="s">
        <v>1339</v>
      </c>
      <c r="D66" s="14" t="s">
        <v>70</v>
      </c>
      <c r="E66" s="14" t="s">
        <v>1340</v>
      </c>
    </row>
    <row r="67" customFormat="false" ht="15" hidden="false" customHeight="false" outlineLevel="0" collapsed="false">
      <c r="A67" s="14" t="n">
        <v>41</v>
      </c>
      <c r="B67" s="14" t="s">
        <v>46</v>
      </c>
      <c r="C67" s="14" t="s">
        <v>1365</v>
      </c>
      <c r="D67" s="14" t="s">
        <v>428</v>
      </c>
      <c r="E67" s="14" t="s">
        <v>1366</v>
      </c>
    </row>
    <row r="68" customFormat="false" ht="23.85" hidden="false" customHeight="false" outlineLevel="0" collapsed="false">
      <c r="A68" s="14" t="n">
        <v>41</v>
      </c>
      <c r="B68" s="14" t="s">
        <v>49</v>
      </c>
      <c r="C68" s="14" t="s">
        <v>1339</v>
      </c>
      <c r="D68" s="14" t="s">
        <v>70</v>
      </c>
      <c r="E68" s="14" t="s">
        <v>1340</v>
      </c>
    </row>
    <row r="69" customFormat="false" ht="23.85" hidden="false" customHeight="false" outlineLevel="0" collapsed="false">
      <c r="A69" s="14" t="n">
        <v>42</v>
      </c>
      <c r="B69" s="14" t="s">
        <v>47</v>
      </c>
      <c r="C69" s="14" t="s">
        <v>1368</v>
      </c>
      <c r="D69" s="14" t="s">
        <v>463</v>
      </c>
      <c r="E69" s="14" t="s">
        <v>1342</v>
      </c>
    </row>
    <row r="70" customFormat="false" ht="23.85" hidden="false" customHeight="false" outlineLevel="0" collapsed="false">
      <c r="A70" s="14" t="n">
        <v>42</v>
      </c>
      <c r="B70" s="14" t="s">
        <v>49</v>
      </c>
      <c r="C70" s="14" t="s">
        <v>1339</v>
      </c>
      <c r="D70" s="14" t="s">
        <v>70</v>
      </c>
      <c r="E70" s="14" t="s">
        <v>1340</v>
      </c>
    </row>
    <row r="71" customFormat="false" ht="23.85" hidden="false" customHeight="false" outlineLevel="0" collapsed="false">
      <c r="A71" s="14" t="n">
        <v>43</v>
      </c>
      <c r="B71" s="14" t="s">
        <v>49</v>
      </c>
      <c r="C71" s="14" t="s">
        <v>1339</v>
      </c>
      <c r="D71" s="14" t="s">
        <v>70</v>
      </c>
      <c r="E71" s="14" t="s">
        <v>1340</v>
      </c>
    </row>
    <row r="72" customFormat="false" ht="23.85" hidden="false" customHeight="false" outlineLevel="0" collapsed="false">
      <c r="A72" s="14" t="n">
        <v>44</v>
      </c>
      <c r="B72" s="14" t="s">
        <v>47</v>
      </c>
      <c r="C72" s="14" t="s">
        <v>1369</v>
      </c>
      <c r="D72" s="14" t="s">
        <v>482</v>
      </c>
      <c r="E72" s="14" t="s">
        <v>1342</v>
      </c>
    </row>
    <row r="73" customFormat="false" ht="23.85" hidden="false" customHeight="false" outlineLevel="0" collapsed="false">
      <c r="A73" s="14" t="n">
        <v>44</v>
      </c>
      <c r="B73" s="14" t="s">
        <v>49</v>
      </c>
      <c r="C73" s="14" t="s">
        <v>1339</v>
      </c>
      <c r="D73" s="14" t="s">
        <v>70</v>
      </c>
      <c r="E73" s="14" t="s">
        <v>1340</v>
      </c>
    </row>
    <row r="74" customFormat="false" ht="15" hidden="false" customHeight="false" outlineLevel="0" collapsed="false">
      <c r="A74" s="14" t="n">
        <v>45</v>
      </c>
      <c r="B74" s="14" t="s">
        <v>46</v>
      </c>
      <c r="C74" s="14" t="s">
        <v>1370</v>
      </c>
      <c r="D74" s="14" t="s">
        <v>491</v>
      </c>
      <c r="E74" s="14" t="s">
        <v>1366</v>
      </c>
    </row>
    <row r="75" customFormat="false" ht="23.85" hidden="false" customHeight="false" outlineLevel="0" collapsed="false">
      <c r="A75" s="14" t="n">
        <v>45</v>
      </c>
      <c r="B75" s="14" t="s">
        <v>47</v>
      </c>
      <c r="C75" s="14" t="s">
        <v>1371</v>
      </c>
      <c r="D75" s="14" t="s">
        <v>493</v>
      </c>
      <c r="E75" s="14" t="s">
        <v>1342</v>
      </c>
    </row>
    <row r="76" customFormat="false" ht="23.85" hidden="false" customHeight="false" outlineLevel="0" collapsed="false">
      <c r="A76" s="14" t="n">
        <v>45</v>
      </c>
      <c r="B76" s="14" t="s">
        <v>49</v>
      </c>
      <c r="C76" s="14" t="s">
        <v>1339</v>
      </c>
      <c r="D76" s="14" t="s">
        <v>70</v>
      </c>
      <c r="E76" s="14" t="s">
        <v>1340</v>
      </c>
    </row>
    <row r="77" customFormat="false" ht="15" hidden="false" customHeight="false" outlineLevel="0" collapsed="false">
      <c r="A77" s="14" t="n">
        <v>46</v>
      </c>
      <c r="B77" s="14" t="s">
        <v>46</v>
      </c>
      <c r="C77" s="14" t="s">
        <v>1370</v>
      </c>
      <c r="D77" s="14" t="s">
        <v>491</v>
      </c>
      <c r="E77" s="14" t="s">
        <v>1366</v>
      </c>
    </row>
    <row r="78" customFormat="false" ht="23.85" hidden="false" customHeight="false" outlineLevel="0" collapsed="false">
      <c r="A78" s="14" t="n">
        <v>46</v>
      </c>
      <c r="B78" s="14" t="s">
        <v>47</v>
      </c>
      <c r="C78" s="14" t="s">
        <v>1371</v>
      </c>
      <c r="D78" s="14" t="s">
        <v>493</v>
      </c>
      <c r="E78" s="14" t="s">
        <v>1342</v>
      </c>
    </row>
    <row r="79" customFormat="false" ht="23.85" hidden="false" customHeight="false" outlineLevel="0" collapsed="false">
      <c r="A79" s="14" t="n">
        <v>46</v>
      </c>
      <c r="B79" s="14" t="s">
        <v>49</v>
      </c>
      <c r="C79" s="14" t="s">
        <v>1339</v>
      </c>
      <c r="D79" s="14" t="s">
        <v>70</v>
      </c>
      <c r="E79" s="14" t="s">
        <v>1340</v>
      </c>
    </row>
    <row r="80" customFormat="false" ht="15" hidden="false" customHeight="false" outlineLevel="0" collapsed="false">
      <c r="A80" s="14" t="n">
        <v>47</v>
      </c>
      <c r="B80" s="14" t="s">
        <v>46</v>
      </c>
      <c r="C80" s="14" t="s">
        <v>1370</v>
      </c>
      <c r="D80" s="14" t="s">
        <v>491</v>
      </c>
      <c r="E80" s="14" t="s">
        <v>1366</v>
      </c>
    </row>
    <row r="81" customFormat="false" ht="23.85" hidden="false" customHeight="false" outlineLevel="0" collapsed="false">
      <c r="A81" s="14" t="n">
        <v>47</v>
      </c>
      <c r="B81" s="14" t="s">
        <v>49</v>
      </c>
      <c r="C81" s="14" t="s">
        <v>1339</v>
      </c>
      <c r="D81" s="14" t="s">
        <v>70</v>
      </c>
      <c r="E81" s="14" t="s">
        <v>1340</v>
      </c>
    </row>
    <row r="82" customFormat="false" ht="15" hidden="false" customHeight="false" outlineLevel="0" collapsed="false">
      <c r="A82" s="14" t="n">
        <v>48</v>
      </c>
      <c r="B82" s="14" t="s">
        <v>46</v>
      </c>
      <c r="C82" s="14" t="s">
        <v>1370</v>
      </c>
      <c r="D82" s="14" t="s">
        <v>491</v>
      </c>
      <c r="E82" s="14" t="s">
        <v>1366</v>
      </c>
    </row>
    <row r="83" customFormat="false" ht="23.85" hidden="false" customHeight="false" outlineLevel="0" collapsed="false">
      <c r="A83" s="14" t="n">
        <v>48</v>
      </c>
      <c r="B83" s="14" t="s">
        <v>49</v>
      </c>
      <c r="C83" s="14" t="s">
        <v>1339</v>
      </c>
      <c r="D83" s="14" t="s">
        <v>70</v>
      </c>
      <c r="E83" s="14" t="s">
        <v>1340</v>
      </c>
    </row>
    <row r="84" customFormat="false" ht="23.85" hidden="false" customHeight="false" outlineLevel="0" collapsed="false">
      <c r="A84" s="14" t="n">
        <v>49</v>
      </c>
      <c r="B84" s="14" t="s">
        <v>46</v>
      </c>
      <c r="C84" s="14" t="s">
        <v>1372</v>
      </c>
      <c r="D84" s="14" t="s">
        <v>524</v>
      </c>
      <c r="E84" s="14" t="s">
        <v>1366</v>
      </c>
    </row>
    <row r="85" customFormat="false" ht="57.45" hidden="false" customHeight="false" outlineLevel="0" collapsed="false">
      <c r="A85" s="14" t="n">
        <v>49</v>
      </c>
      <c r="B85" s="14" t="s">
        <v>47</v>
      </c>
      <c r="C85" s="14" t="s">
        <v>1373</v>
      </c>
      <c r="D85" s="14" t="s">
        <v>526</v>
      </c>
      <c r="E85" s="14" t="s">
        <v>1342</v>
      </c>
    </row>
    <row r="86" customFormat="false" ht="23.85" hidden="false" customHeight="false" outlineLevel="0" collapsed="false">
      <c r="A86" s="14" t="n">
        <v>49</v>
      </c>
      <c r="B86" s="14" t="s">
        <v>49</v>
      </c>
      <c r="C86" s="14" t="s">
        <v>1339</v>
      </c>
      <c r="D86" s="14" t="s">
        <v>70</v>
      </c>
      <c r="E86" s="14" t="s">
        <v>1340</v>
      </c>
    </row>
    <row r="87" customFormat="false" ht="15" hidden="false" customHeight="false" outlineLevel="0" collapsed="false">
      <c r="A87" s="14" t="n">
        <v>50</v>
      </c>
      <c r="B87" s="14" t="s">
        <v>46</v>
      </c>
      <c r="C87" s="14" t="s">
        <v>1370</v>
      </c>
      <c r="D87" s="14" t="s">
        <v>491</v>
      </c>
      <c r="E87" s="14" t="s">
        <v>1366</v>
      </c>
    </row>
    <row r="88" customFormat="false" ht="23.85" hidden="false" customHeight="false" outlineLevel="0" collapsed="false">
      <c r="A88" s="14" t="n">
        <v>50</v>
      </c>
      <c r="B88" s="14" t="s">
        <v>49</v>
      </c>
      <c r="C88" s="14" t="s">
        <v>1339</v>
      </c>
      <c r="D88" s="14" t="s">
        <v>70</v>
      </c>
      <c r="E88" s="14" t="s">
        <v>1340</v>
      </c>
    </row>
    <row r="89" customFormat="false" ht="23.85" hidden="false" customHeight="false" outlineLevel="0" collapsed="false">
      <c r="A89" s="14" t="n">
        <v>51</v>
      </c>
      <c r="B89" s="14" t="s">
        <v>46</v>
      </c>
      <c r="C89" s="14" t="s">
        <v>1372</v>
      </c>
      <c r="D89" s="14" t="s">
        <v>524</v>
      </c>
      <c r="E89" s="14" t="s">
        <v>1366</v>
      </c>
    </row>
    <row r="90" customFormat="false" ht="23.85" hidden="false" customHeight="false" outlineLevel="0" collapsed="false">
      <c r="A90" s="14" t="n">
        <v>51</v>
      </c>
      <c r="B90" s="14" t="s">
        <v>49</v>
      </c>
      <c r="C90" s="14" t="s">
        <v>1339</v>
      </c>
      <c r="D90" s="14" t="s">
        <v>70</v>
      </c>
      <c r="E90" s="14" t="s">
        <v>1340</v>
      </c>
    </row>
    <row r="91" customFormat="false" ht="23.85" hidden="false" customHeight="false" outlineLevel="0" collapsed="false">
      <c r="A91" s="14" t="n">
        <v>52</v>
      </c>
      <c r="B91" s="14" t="s">
        <v>49</v>
      </c>
      <c r="C91" s="14" t="s">
        <v>1339</v>
      </c>
      <c r="D91" s="14" t="s">
        <v>70</v>
      </c>
      <c r="E91" s="14" t="s">
        <v>1340</v>
      </c>
    </row>
    <row r="92" customFormat="false" ht="23.85" hidden="false" customHeight="false" outlineLevel="0" collapsed="false">
      <c r="A92" s="14" t="n">
        <v>52</v>
      </c>
      <c r="B92" s="14" t="s">
        <v>53</v>
      </c>
      <c r="C92" s="14" t="s">
        <v>1374</v>
      </c>
      <c r="D92" s="14" t="s">
        <v>74</v>
      </c>
      <c r="E92" s="14" t="s">
        <v>1375</v>
      </c>
    </row>
    <row r="93" customFormat="false" ht="23.85" hidden="false" customHeight="false" outlineLevel="0" collapsed="false">
      <c r="A93" s="14" t="n">
        <v>52</v>
      </c>
      <c r="B93" s="14" t="s">
        <v>54</v>
      </c>
      <c r="C93" s="14" t="s">
        <v>1374</v>
      </c>
      <c r="D93" s="14" t="s">
        <v>74</v>
      </c>
      <c r="E93" s="14" t="s">
        <v>1375</v>
      </c>
    </row>
    <row r="94" customFormat="false" ht="23.85" hidden="false" customHeight="false" outlineLevel="0" collapsed="false">
      <c r="A94" s="14" t="n">
        <v>52</v>
      </c>
      <c r="B94" s="14" t="s">
        <v>55</v>
      </c>
      <c r="C94" s="14" t="s">
        <v>1374</v>
      </c>
      <c r="D94" s="14" t="s">
        <v>74</v>
      </c>
      <c r="E94" s="14" t="s">
        <v>1375</v>
      </c>
    </row>
    <row r="95" customFormat="false" ht="23.85" hidden="false" customHeight="false" outlineLevel="0" collapsed="false">
      <c r="A95" s="14" t="n">
        <v>52</v>
      </c>
      <c r="B95" s="14" t="s">
        <v>56</v>
      </c>
      <c r="C95" s="14" t="s">
        <v>1374</v>
      </c>
      <c r="D95" s="14" t="s">
        <v>74</v>
      </c>
      <c r="E95" s="14" t="s">
        <v>1375</v>
      </c>
    </row>
    <row r="96" customFormat="false" ht="23.85" hidden="false" customHeight="false" outlineLevel="0" collapsed="false">
      <c r="A96" s="14" t="n">
        <v>53</v>
      </c>
      <c r="B96" s="14" t="s">
        <v>47</v>
      </c>
      <c r="C96" s="14" t="s">
        <v>1376</v>
      </c>
      <c r="D96" s="14" t="s">
        <v>563</v>
      </c>
      <c r="E96" s="14" t="s">
        <v>1342</v>
      </c>
    </row>
    <row r="97" customFormat="false" ht="23.85" hidden="false" customHeight="false" outlineLevel="0" collapsed="false">
      <c r="A97" s="14" t="n">
        <v>53</v>
      </c>
      <c r="B97" s="14" t="s">
        <v>49</v>
      </c>
      <c r="C97" s="14" t="s">
        <v>1339</v>
      </c>
      <c r="D97" s="14" t="s">
        <v>70</v>
      </c>
      <c r="E97" s="14" t="s">
        <v>1340</v>
      </c>
    </row>
    <row r="98" customFormat="false" ht="23.85" hidden="false" customHeight="false" outlineLevel="0" collapsed="false">
      <c r="A98" s="14" t="n">
        <v>53</v>
      </c>
      <c r="B98" s="14" t="s">
        <v>53</v>
      </c>
      <c r="C98" s="14" t="s">
        <v>1374</v>
      </c>
      <c r="D98" s="14" t="s">
        <v>74</v>
      </c>
      <c r="E98" s="14" t="s">
        <v>1375</v>
      </c>
    </row>
    <row r="99" customFormat="false" ht="23.85" hidden="false" customHeight="false" outlineLevel="0" collapsed="false">
      <c r="A99" s="14" t="n">
        <v>53</v>
      </c>
      <c r="B99" s="14" t="s">
        <v>54</v>
      </c>
      <c r="C99" s="14" t="s">
        <v>1374</v>
      </c>
      <c r="D99" s="14" t="s">
        <v>74</v>
      </c>
      <c r="E99" s="14" t="s">
        <v>1375</v>
      </c>
    </row>
    <row r="100" customFormat="false" ht="23.85" hidden="false" customHeight="false" outlineLevel="0" collapsed="false">
      <c r="A100" s="14" t="n">
        <v>53</v>
      </c>
      <c r="B100" s="14" t="s">
        <v>55</v>
      </c>
      <c r="C100" s="14" t="s">
        <v>1374</v>
      </c>
      <c r="D100" s="14" t="s">
        <v>74</v>
      </c>
      <c r="E100" s="14" t="s">
        <v>1375</v>
      </c>
    </row>
    <row r="101" customFormat="false" ht="23.85" hidden="false" customHeight="false" outlineLevel="0" collapsed="false">
      <c r="A101" s="14" t="n">
        <v>53</v>
      </c>
      <c r="B101" s="14" t="s">
        <v>56</v>
      </c>
      <c r="C101" s="14" t="s">
        <v>1374</v>
      </c>
      <c r="D101" s="14" t="s">
        <v>74</v>
      </c>
      <c r="E101" s="14" t="s">
        <v>1375</v>
      </c>
    </row>
    <row r="102" customFormat="false" ht="35.05" hidden="false" customHeight="false" outlineLevel="0" collapsed="false">
      <c r="A102" s="14" t="n">
        <v>54</v>
      </c>
      <c r="B102" s="14" t="s">
        <v>28</v>
      </c>
      <c r="C102" s="14" t="s">
        <v>1377</v>
      </c>
      <c r="D102" s="14" t="s">
        <v>572</v>
      </c>
      <c r="E102" s="14" t="s">
        <v>1344</v>
      </c>
    </row>
    <row r="103" customFormat="false" ht="91" hidden="false" customHeight="false" outlineLevel="0" collapsed="false">
      <c r="A103" s="14" t="n">
        <v>54</v>
      </c>
      <c r="B103" s="14" t="s">
        <v>47</v>
      </c>
      <c r="C103" s="14" t="s">
        <v>1378</v>
      </c>
      <c r="D103" s="14" t="s">
        <v>573</v>
      </c>
      <c r="E103" s="14" t="s">
        <v>1342</v>
      </c>
    </row>
    <row r="104" customFormat="false" ht="23.85" hidden="false" customHeight="false" outlineLevel="0" collapsed="false">
      <c r="A104" s="14" t="n">
        <v>54</v>
      </c>
      <c r="B104" s="14" t="s">
        <v>49</v>
      </c>
      <c r="C104" s="14" t="s">
        <v>1339</v>
      </c>
      <c r="D104" s="14" t="s">
        <v>70</v>
      </c>
      <c r="E104" s="14" t="s">
        <v>1340</v>
      </c>
    </row>
    <row r="105" customFormat="false" ht="23.85" hidden="false" customHeight="false" outlineLevel="0" collapsed="false">
      <c r="A105" s="14" t="n">
        <v>55</v>
      </c>
      <c r="B105" s="14" t="s">
        <v>47</v>
      </c>
      <c r="C105" s="14" t="s">
        <v>1379</v>
      </c>
      <c r="D105" s="14" t="s">
        <v>583</v>
      </c>
      <c r="E105" s="14" t="s">
        <v>1342</v>
      </c>
    </row>
    <row r="106" customFormat="false" ht="23.85" hidden="false" customHeight="false" outlineLevel="0" collapsed="false">
      <c r="A106" s="14" t="n">
        <v>55</v>
      </c>
      <c r="B106" s="14" t="s">
        <v>49</v>
      </c>
      <c r="C106" s="14" t="s">
        <v>1339</v>
      </c>
      <c r="D106" s="14" t="s">
        <v>70</v>
      </c>
      <c r="E106" s="14" t="s">
        <v>1340</v>
      </c>
    </row>
    <row r="107" customFormat="false" ht="23.85" hidden="false" customHeight="false" outlineLevel="0" collapsed="false">
      <c r="A107" s="14" t="n">
        <v>56</v>
      </c>
      <c r="B107" s="14" t="s">
        <v>47</v>
      </c>
      <c r="C107" s="14" t="s">
        <v>1380</v>
      </c>
      <c r="D107" s="14" t="s">
        <v>593</v>
      </c>
      <c r="E107" s="14" t="s">
        <v>1342</v>
      </c>
    </row>
    <row r="108" customFormat="false" ht="23.85" hidden="false" customHeight="false" outlineLevel="0" collapsed="false">
      <c r="A108" s="14" t="n">
        <v>56</v>
      </c>
      <c r="B108" s="14" t="s">
        <v>49</v>
      </c>
      <c r="C108" s="14" t="s">
        <v>1339</v>
      </c>
      <c r="D108" s="14" t="s">
        <v>70</v>
      </c>
      <c r="E108" s="14" t="s">
        <v>1340</v>
      </c>
    </row>
    <row r="109" customFormat="false" ht="35.05" hidden="false" customHeight="false" outlineLevel="0" collapsed="false">
      <c r="A109" s="14" t="n">
        <v>57</v>
      </c>
      <c r="B109" s="14" t="s">
        <v>28</v>
      </c>
      <c r="C109" s="14" t="s">
        <v>1381</v>
      </c>
      <c r="D109" s="14" t="s">
        <v>601</v>
      </c>
      <c r="E109" s="14" t="s">
        <v>1344</v>
      </c>
    </row>
    <row r="110" customFormat="false" ht="23.85" hidden="false" customHeight="false" outlineLevel="0" collapsed="false">
      <c r="A110" s="14" t="n">
        <v>57</v>
      </c>
      <c r="B110" s="14" t="s">
        <v>49</v>
      </c>
      <c r="C110" s="14" t="s">
        <v>1339</v>
      </c>
      <c r="D110" s="14" t="s">
        <v>70</v>
      </c>
      <c r="E110" s="14" t="s">
        <v>1340</v>
      </c>
    </row>
    <row r="111" customFormat="false" ht="23.85" hidden="false" customHeight="false" outlineLevel="0" collapsed="false">
      <c r="A111" s="14" t="n">
        <v>58</v>
      </c>
      <c r="B111" s="14" t="s">
        <v>49</v>
      </c>
      <c r="C111" s="14" t="s">
        <v>1339</v>
      </c>
      <c r="D111" s="14" t="s">
        <v>70</v>
      </c>
      <c r="E111" s="14" t="s">
        <v>1340</v>
      </c>
    </row>
    <row r="112" customFormat="false" ht="23.85" hidden="false" customHeight="false" outlineLevel="0" collapsed="false">
      <c r="A112" s="14" t="n">
        <v>59</v>
      </c>
      <c r="B112" s="14" t="s">
        <v>49</v>
      </c>
      <c r="C112" s="14" t="s">
        <v>1339</v>
      </c>
      <c r="D112" s="14" t="s">
        <v>70</v>
      </c>
      <c r="E112" s="14" t="s">
        <v>1340</v>
      </c>
    </row>
    <row r="113" customFormat="false" ht="23.85" hidden="false" customHeight="false" outlineLevel="0" collapsed="false">
      <c r="A113" s="14" t="n">
        <v>60</v>
      </c>
      <c r="B113" s="14" t="s">
        <v>49</v>
      </c>
      <c r="C113" s="14" t="s">
        <v>1339</v>
      </c>
      <c r="D113" s="14" t="s">
        <v>70</v>
      </c>
      <c r="E113" s="14" t="s">
        <v>1340</v>
      </c>
    </row>
    <row r="114" customFormat="false" ht="23.85" hidden="false" customHeight="false" outlineLevel="0" collapsed="false">
      <c r="A114" s="14" t="n">
        <v>61</v>
      </c>
      <c r="B114" s="14" t="s">
        <v>49</v>
      </c>
      <c r="C114" s="14" t="s">
        <v>1339</v>
      </c>
      <c r="D114" s="14" t="s">
        <v>70</v>
      </c>
      <c r="E114" s="14" t="s">
        <v>1340</v>
      </c>
    </row>
    <row r="115" customFormat="false" ht="23.85" hidden="false" customHeight="false" outlineLevel="0" collapsed="false">
      <c r="A115" s="14" t="n">
        <v>62</v>
      </c>
      <c r="B115" s="14" t="s">
        <v>49</v>
      </c>
      <c r="C115" s="14" t="s">
        <v>1339</v>
      </c>
      <c r="D115" s="14" t="s">
        <v>70</v>
      </c>
      <c r="E115" s="14" t="s">
        <v>1340</v>
      </c>
    </row>
    <row r="116" customFormat="false" ht="23.85" hidden="false" customHeight="false" outlineLevel="0" collapsed="false">
      <c r="A116" s="14" t="n">
        <v>63</v>
      </c>
      <c r="B116" s="14" t="s">
        <v>49</v>
      </c>
      <c r="C116" s="14" t="s">
        <v>1339</v>
      </c>
      <c r="D116" s="14" t="s">
        <v>70</v>
      </c>
      <c r="E116" s="14" t="s">
        <v>1340</v>
      </c>
    </row>
    <row r="117" customFormat="false" ht="15" hidden="false" customHeight="false" outlineLevel="0" collapsed="false">
      <c r="A117" s="14" t="n">
        <v>64</v>
      </c>
      <c r="B117" s="14" t="s">
        <v>46</v>
      </c>
      <c r="C117" s="14" t="s">
        <v>1370</v>
      </c>
      <c r="D117" s="14" t="s">
        <v>491</v>
      </c>
      <c r="E117" s="14" t="s">
        <v>1366</v>
      </c>
    </row>
    <row r="118" customFormat="false" ht="23.85" hidden="false" customHeight="false" outlineLevel="0" collapsed="false">
      <c r="A118" s="14" t="n">
        <v>64</v>
      </c>
      <c r="B118" s="14" t="s">
        <v>49</v>
      </c>
      <c r="C118" s="14" t="s">
        <v>1339</v>
      </c>
      <c r="D118" s="14" t="s">
        <v>70</v>
      </c>
      <c r="E118" s="14" t="s">
        <v>1340</v>
      </c>
    </row>
    <row r="119" customFormat="false" ht="23.85" hidden="false" customHeight="false" outlineLevel="0" collapsed="false">
      <c r="A119" s="14" t="n">
        <v>65</v>
      </c>
      <c r="B119" s="14" t="s">
        <v>49</v>
      </c>
      <c r="C119" s="14" t="s">
        <v>1339</v>
      </c>
      <c r="D119" s="14" t="s">
        <v>70</v>
      </c>
      <c r="E119" s="14" t="s">
        <v>1340</v>
      </c>
    </row>
    <row r="120" customFormat="false" ht="15" hidden="false" customHeight="false" outlineLevel="0" collapsed="false">
      <c r="A120" s="14" t="n">
        <v>66</v>
      </c>
      <c r="B120" s="14" t="s">
        <v>46</v>
      </c>
      <c r="C120" s="14" t="s">
        <v>1370</v>
      </c>
      <c r="D120" s="14" t="s">
        <v>491</v>
      </c>
      <c r="E120" s="14" t="s">
        <v>1366</v>
      </c>
    </row>
    <row r="121" customFormat="false" ht="23.85" hidden="false" customHeight="false" outlineLevel="0" collapsed="false">
      <c r="A121" s="14" t="n">
        <v>66</v>
      </c>
      <c r="B121" s="14" t="s">
        <v>47</v>
      </c>
      <c r="C121" s="14" t="s">
        <v>1382</v>
      </c>
      <c r="D121" s="14" t="s">
        <v>669</v>
      </c>
      <c r="E121" s="14" t="s">
        <v>1342</v>
      </c>
    </row>
    <row r="122" customFormat="false" ht="23.85" hidden="false" customHeight="false" outlineLevel="0" collapsed="false">
      <c r="A122" s="14" t="n">
        <v>66</v>
      </c>
      <c r="B122" s="14" t="s">
        <v>49</v>
      </c>
      <c r="C122" s="14" t="s">
        <v>1339</v>
      </c>
      <c r="D122" s="14" t="s">
        <v>70</v>
      </c>
      <c r="E122" s="14" t="s">
        <v>1340</v>
      </c>
    </row>
    <row r="123" customFormat="false" ht="23.85" hidden="false" customHeight="false" outlineLevel="0" collapsed="false">
      <c r="A123" s="14" t="n">
        <v>67</v>
      </c>
      <c r="B123" s="14" t="s">
        <v>46</v>
      </c>
      <c r="C123" s="14" t="s">
        <v>1372</v>
      </c>
      <c r="D123" s="14" t="s">
        <v>524</v>
      </c>
      <c r="E123" s="14" t="s">
        <v>1366</v>
      </c>
    </row>
    <row r="124" customFormat="false" ht="23.85" hidden="false" customHeight="false" outlineLevel="0" collapsed="false">
      <c r="A124" s="14" t="n">
        <v>67</v>
      </c>
      <c r="B124" s="14" t="s">
        <v>49</v>
      </c>
      <c r="C124" s="14" t="s">
        <v>1339</v>
      </c>
      <c r="D124" s="14" t="s">
        <v>70</v>
      </c>
      <c r="E124" s="14" t="s">
        <v>1340</v>
      </c>
    </row>
    <row r="125" customFormat="false" ht="23.85" hidden="false" customHeight="false" outlineLevel="0" collapsed="false">
      <c r="A125" s="14" t="n">
        <v>68</v>
      </c>
      <c r="B125" s="14" t="s">
        <v>49</v>
      </c>
      <c r="C125" s="14" t="s">
        <v>1339</v>
      </c>
      <c r="D125" s="14" t="s">
        <v>70</v>
      </c>
      <c r="E125" s="14" t="s">
        <v>1340</v>
      </c>
    </row>
    <row r="126" customFormat="false" ht="23.85" hidden="false" customHeight="false" outlineLevel="0" collapsed="false">
      <c r="A126" s="14" t="n">
        <v>69</v>
      </c>
      <c r="B126" s="14" t="s">
        <v>49</v>
      </c>
      <c r="C126" s="14" t="s">
        <v>1339</v>
      </c>
      <c r="D126" s="14" t="s">
        <v>70</v>
      </c>
      <c r="E126" s="14" t="s">
        <v>1340</v>
      </c>
    </row>
    <row r="127" customFormat="false" ht="57.45" hidden="false" customHeight="false" outlineLevel="0" collapsed="false">
      <c r="A127" s="14" t="n">
        <v>70</v>
      </c>
      <c r="B127" s="14" t="s">
        <v>47</v>
      </c>
      <c r="C127" s="14" t="s">
        <v>1383</v>
      </c>
      <c r="D127" s="14" t="s">
        <v>704</v>
      </c>
      <c r="E127" s="14" t="s">
        <v>1342</v>
      </c>
    </row>
    <row r="128" customFormat="false" ht="23.85" hidden="false" customHeight="false" outlineLevel="0" collapsed="false">
      <c r="A128" s="14" t="n">
        <v>70</v>
      </c>
      <c r="B128" s="14" t="s">
        <v>49</v>
      </c>
      <c r="C128" s="14" t="s">
        <v>1339</v>
      </c>
      <c r="D128" s="14" t="s">
        <v>70</v>
      </c>
      <c r="E128" s="14" t="s">
        <v>1340</v>
      </c>
    </row>
    <row r="129" customFormat="false" ht="35.05" hidden="false" customHeight="false" outlineLevel="0" collapsed="false">
      <c r="A129" s="14" t="n">
        <v>71</v>
      </c>
      <c r="B129" s="14" t="s">
        <v>47</v>
      </c>
      <c r="C129" s="14" t="s">
        <v>1384</v>
      </c>
      <c r="D129" s="14" t="s">
        <v>714</v>
      </c>
      <c r="E129" s="14" t="s">
        <v>1342</v>
      </c>
    </row>
    <row r="130" customFormat="false" ht="23.85" hidden="false" customHeight="false" outlineLevel="0" collapsed="false">
      <c r="A130" s="14" t="n">
        <v>71</v>
      </c>
      <c r="B130" s="14" t="s">
        <v>49</v>
      </c>
      <c r="C130" s="14" t="s">
        <v>1339</v>
      </c>
      <c r="D130" s="14" t="s">
        <v>70</v>
      </c>
      <c r="E130" s="14" t="s">
        <v>1340</v>
      </c>
    </row>
    <row r="131" customFormat="false" ht="23.85" hidden="false" customHeight="false" outlineLevel="0" collapsed="false">
      <c r="A131" s="14" t="n">
        <v>72</v>
      </c>
      <c r="B131" s="14" t="s">
        <v>47</v>
      </c>
      <c r="C131" s="14" t="s">
        <v>1353</v>
      </c>
      <c r="D131" s="14" t="s">
        <v>280</v>
      </c>
      <c r="E131" s="14" t="s">
        <v>1342</v>
      </c>
    </row>
    <row r="132" customFormat="false" ht="23.85" hidden="false" customHeight="false" outlineLevel="0" collapsed="false">
      <c r="A132" s="14" t="n">
        <v>72</v>
      </c>
      <c r="B132" s="14" t="s">
        <v>49</v>
      </c>
      <c r="C132" s="14" t="s">
        <v>1339</v>
      </c>
      <c r="D132" s="14" t="s">
        <v>70</v>
      </c>
      <c r="E132" s="14" t="s">
        <v>1340</v>
      </c>
    </row>
    <row r="133" customFormat="false" ht="79.85" hidden="false" customHeight="false" outlineLevel="0" collapsed="false">
      <c r="A133" s="14" t="n">
        <v>73</v>
      </c>
      <c r="B133" s="14" t="s">
        <v>47</v>
      </c>
      <c r="C133" s="14" t="s">
        <v>1385</v>
      </c>
      <c r="D133" s="14" t="s">
        <v>730</v>
      </c>
      <c r="E133" s="14" t="s">
        <v>1342</v>
      </c>
    </row>
    <row r="134" customFormat="false" ht="23.85" hidden="false" customHeight="false" outlineLevel="0" collapsed="false">
      <c r="A134" s="14" t="n">
        <v>73</v>
      </c>
      <c r="B134" s="14" t="s">
        <v>49</v>
      </c>
      <c r="C134" s="14" t="s">
        <v>1339</v>
      </c>
      <c r="D134" s="14" t="s">
        <v>70</v>
      </c>
      <c r="E134" s="14" t="s">
        <v>1340</v>
      </c>
    </row>
    <row r="135" customFormat="false" ht="68.65" hidden="false" customHeight="false" outlineLevel="0" collapsed="false">
      <c r="A135" s="14" t="n">
        <v>74</v>
      </c>
      <c r="B135" s="14" t="s">
        <v>47</v>
      </c>
      <c r="C135" s="14" t="s">
        <v>1386</v>
      </c>
      <c r="D135" s="14" t="s">
        <v>739</v>
      </c>
      <c r="E135" s="14" t="s">
        <v>1342</v>
      </c>
    </row>
    <row r="136" customFormat="false" ht="23.85" hidden="false" customHeight="false" outlineLevel="0" collapsed="false">
      <c r="A136" s="14" t="n">
        <v>74</v>
      </c>
      <c r="B136" s="14" t="s">
        <v>49</v>
      </c>
      <c r="C136" s="14" t="s">
        <v>1339</v>
      </c>
      <c r="D136" s="14" t="s">
        <v>70</v>
      </c>
      <c r="E136" s="14" t="s">
        <v>1340</v>
      </c>
    </row>
    <row r="137" customFormat="false" ht="23.85" hidden="false" customHeight="false" outlineLevel="0" collapsed="false">
      <c r="A137" s="14" t="n">
        <v>74</v>
      </c>
      <c r="B137" s="14" t="s">
        <v>59</v>
      </c>
      <c r="C137" s="14" t="s">
        <v>1387</v>
      </c>
      <c r="D137" s="14" t="s">
        <v>1388</v>
      </c>
      <c r="E137" s="14" t="s">
        <v>1389</v>
      </c>
    </row>
    <row r="138" customFormat="false" ht="57.45" hidden="false" customHeight="false" outlineLevel="0" collapsed="false">
      <c r="A138" s="14" t="n">
        <v>75</v>
      </c>
      <c r="B138" s="14" t="s">
        <v>47</v>
      </c>
      <c r="C138" s="14" t="s">
        <v>1390</v>
      </c>
      <c r="D138" s="14" t="s">
        <v>748</v>
      </c>
      <c r="E138" s="14" t="s">
        <v>1342</v>
      </c>
    </row>
    <row r="139" customFormat="false" ht="23.85" hidden="false" customHeight="false" outlineLevel="0" collapsed="false">
      <c r="A139" s="14" t="n">
        <v>75</v>
      </c>
      <c r="B139" s="14" t="s">
        <v>49</v>
      </c>
      <c r="C139" s="14" t="s">
        <v>1339</v>
      </c>
      <c r="D139" s="14" t="s">
        <v>70</v>
      </c>
      <c r="E139" s="14" t="s">
        <v>1340</v>
      </c>
    </row>
    <row r="140" customFormat="false" ht="23.85" hidden="false" customHeight="false" outlineLevel="0" collapsed="false">
      <c r="A140" s="14" t="n">
        <v>76</v>
      </c>
      <c r="B140" s="14" t="s">
        <v>49</v>
      </c>
      <c r="C140" s="14" t="s">
        <v>1339</v>
      </c>
      <c r="D140" s="14" t="s">
        <v>70</v>
      </c>
      <c r="E140" s="14" t="s">
        <v>1340</v>
      </c>
    </row>
    <row r="141" customFormat="false" ht="46.25" hidden="false" customHeight="false" outlineLevel="0" collapsed="false">
      <c r="A141" s="14" t="n">
        <v>77</v>
      </c>
      <c r="B141" s="14" t="s">
        <v>47</v>
      </c>
      <c r="C141" s="14" t="s">
        <v>1391</v>
      </c>
      <c r="D141" s="14" t="s">
        <v>765</v>
      </c>
      <c r="E141" s="14" t="s">
        <v>1342</v>
      </c>
    </row>
    <row r="142" customFormat="false" ht="23.85" hidden="false" customHeight="false" outlineLevel="0" collapsed="false">
      <c r="A142" s="14" t="n">
        <v>77</v>
      </c>
      <c r="B142" s="14" t="s">
        <v>49</v>
      </c>
      <c r="C142" s="14" t="s">
        <v>1339</v>
      </c>
      <c r="D142" s="14" t="s">
        <v>70</v>
      </c>
      <c r="E142" s="14" t="s">
        <v>1340</v>
      </c>
    </row>
    <row r="143" customFormat="false" ht="68.65" hidden="false" customHeight="false" outlineLevel="0" collapsed="false">
      <c r="A143" s="14" t="n">
        <v>78</v>
      </c>
      <c r="B143" s="14" t="s">
        <v>47</v>
      </c>
      <c r="C143" s="14" t="s">
        <v>1392</v>
      </c>
      <c r="D143" s="14" t="s">
        <v>774</v>
      </c>
      <c r="E143" s="14" t="s">
        <v>1342</v>
      </c>
    </row>
    <row r="144" customFormat="false" ht="23.85" hidden="false" customHeight="false" outlineLevel="0" collapsed="false">
      <c r="A144" s="14" t="n">
        <v>78</v>
      </c>
      <c r="B144" s="14" t="s">
        <v>49</v>
      </c>
      <c r="C144" s="14" t="s">
        <v>1339</v>
      </c>
      <c r="D144" s="14" t="s">
        <v>70</v>
      </c>
      <c r="E144" s="14" t="s">
        <v>1340</v>
      </c>
    </row>
    <row r="145" customFormat="false" ht="23.85" hidden="false" customHeight="false" outlineLevel="0" collapsed="false">
      <c r="A145" s="14" t="n">
        <v>79</v>
      </c>
      <c r="B145" s="14" t="s">
        <v>49</v>
      </c>
      <c r="C145" s="14" t="s">
        <v>1339</v>
      </c>
      <c r="D145" s="14" t="s">
        <v>70</v>
      </c>
      <c r="E145" s="14" t="s">
        <v>1340</v>
      </c>
    </row>
    <row r="146" customFormat="false" ht="23.85" hidden="false" customHeight="false" outlineLevel="0" collapsed="false">
      <c r="A146" s="14" t="n">
        <v>80</v>
      </c>
      <c r="B146" s="14" t="s">
        <v>47</v>
      </c>
      <c r="C146" s="14" t="s">
        <v>1393</v>
      </c>
      <c r="D146" s="14" t="s">
        <v>792</v>
      </c>
      <c r="E146" s="14" t="s">
        <v>1342</v>
      </c>
    </row>
    <row r="147" customFormat="false" ht="23.85" hidden="false" customHeight="false" outlineLevel="0" collapsed="false">
      <c r="A147" s="14" t="n">
        <v>80</v>
      </c>
      <c r="B147" s="14" t="s">
        <v>49</v>
      </c>
      <c r="C147" s="14" t="s">
        <v>1339</v>
      </c>
      <c r="D147" s="14" t="s">
        <v>70</v>
      </c>
      <c r="E147" s="14" t="s">
        <v>1340</v>
      </c>
    </row>
    <row r="148" customFormat="false" ht="57.45" hidden="false" customHeight="false" outlineLevel="0" collapsed="false">
      <c r="A148" s="14" t="n">
        <v>81</v>
      </c>
      <c r="B148" s="14" t="s">
        <v>47</v>
      </c>
      <c r="C148" s="14" t="s">
        <v>1394</v>
      </c>
      <c r="D148" s="14" t="s">
        <v>801</v>
      </c>
      <c r="E148" s="14" t="s">
        <v>1342</v>
      </c>
    </row>
    <row r="149" customFormat="false" ht="23.85" hidden="false" customHeight="false" outlineLevel="0" collapsed="false">
      <c r="A149" s="14" t="n">
        <v>81</v>
      </c>
      <c r="B149" s="14" t="s">
        <v>49</v>
      </c>
      <c r="C149" s="14" t="s">
        <v>1339</v>
      </c>
      <c r="D149" s="14" t="s">
        <v>70</v>
      </c>
      <c r="E149" s="14" t="s">
        <v>1340</v>
      </c>
    </row>
    <row r="150" customFormat="false" ht="35.05" hidden="false" customHeight="false" outlineLevel="0" collapsed="false">
      <c r="A150" s="14" t="n">
        <v>82</v>
      </c>
      <c r="B150" s="14" t="s">
        <v>47</v>
      </c>
      <c r="C150" s="14" t="s">
        <v>1395</v>
      </c>
      <c r="D150" s="14" t="s">
        <v>810</v>
      </c>
      <c r="E150" s="14" t="s">
        <v>1342</v>
      </c>
    </row>
    <row r="151" customFormat="false" ht="23.85" hidden="false" customHeight="false" outlineLevel="0" collapsed="false">
      <c r="A151" s="14" t="n">
        <v>82</v>
      </c>
      <c r="B151" s="14" t="s">
        <v>49</v>
      </c>
      <c r="C151" s="14" t="s">
        <v>1339</v>
      </c>
      <c r="D151" s="14" t="s">
        <v>70</v>
      </c>
      <c r="E151" s="14" t="s">
        <v>1340</v>
      </c>
    </row>
    <row r="152" customFormat="false" ht="57.45" hidden="false" customHeight="false" outlineLevel="0" collapsed="false">
      <c r="A152" s="14" t="n">
        <v>83</v>
      </c>
      <c r="B152" s="14" t="s">
        <v>47</v>
      </c>
      <c r="C152" s="14" t="s">
        <v>1396</v>
      </c>
      <c r="D152" s="14" t="s">
        <v>818</v>
      </c>
      <c r="E152" s="14" t="s">
        <v>1342</v>
      </c>
    </row>
    <row r="153" customFormat="false" ht="23.85" hidden="false" customHeight="false" outlineLevel="0" collapsed="false">
      <c r="A153" s="14" t="n">
        <v>83</v>
      </c>
      <c r="B153" s="14" t="s">
        <v>49</v>
      </c>
      <c r="C153" s="14" t="s">
        <v>1339</v>
      </c>
      <c r="D153" s="14" t="s">
        <v>70</v>
      </c>
      <c r="E153" s="14" t="s">
        <v>1340</v>
      </c>
    </row>
    <row r="154" customFormat="false" ht="23.85" hidden="false" customHeight="false" outlineLevel="0" collapsed="false">
      <c r="A154" s="14" t="n">
        <v>84</v>
      </c>
      <c r="B154" s="14" t="s">
        <v>49</v>
      </c>
      <c r="C154" s="14" t="s">
        <v>1339</v>
      </c>
      <c r="D154" s="14" t="s">
        <v>70</v>
      </c>
      <c r="E154" s="14" t="s">
        <v>1340</v>
      </c>
    </row>
    <row r="155" customFormat="false" ht="23.85" hidden="false" customHeight="false" outlineLevel="0" collapsed="false">
      <c r="A155" s="14" t="n">
        <v>85</v>
      </c>
      <c r="B155" s="14" t="s">
        <v>47</v>
      </c>
      <c r="C155" s="14" t="s">
        <v>1397</v>
      </c>
      <c r="D155" s="14" t="s">
        <v>835</v>
      </c>
      <c r="E155" s="14" t="s">
        <v>1342</v>
      </c>
    </row>
    <row r="156" customFormat="false" ht="23.85" hidden="false" customHeight="false" outlineLevel="0" collapsed="false">
      <c r="A156" s="14" t="n">
        <v>85</v>
      </c>
      <c r="B156" s="14" t="s">
        <v>49</v>
      </c>
      <c r="C156" s="14" t="s">
        <v>1339</v>
      </c>
      <c r="D156" s="14" t="s">
        <v>70</v>
      </c>
      <c r="E156" s="14" t="s">
        <v>1340</v>
      </c>
    </row>
    <row r="157" customFormat="false" ht="57.45" hidden="false" customHeight="false" outlineLevel="0" collapsed="false">
      <c r="A157" s="14" t="n">
        <v>86</v>
      </c>
      <c r="B157" s="14" t="s">
        <v>47</v>
      </c>
      <c r="C157" s="14" t="s">
        <v>1398</v>
      </c>
      <c r="D157" s="14" t="s">
        <v>704</v>
      </c>
      <c r="E157" s="14" t="s">
        <v>1342</v>
      </c>
    </row>
    <row r="158" customFormat="false" ht="23.85" hidden="false" customHeight="false" outlineLevel="0" collapsed="false">
      <c r="A158" s="14" t="n">
        <v>86</v>
      </c>
      <c r="B158" s="14" t="s">
        <v>49</v>
      </c>
      <c r="C158" s="14" t="s">
        <v>1339</v>
      </c>
      <c r="D158" s="14" t="s">
        <v>70</v>
      </c>
      <c r="E158" s="14" t="s">
        <v>1340</v>
      </c>
    </row>
    <row r="159" customFormat="false" ht="91" hidden="false" customHeight="false" outlineLevel="0" collapsed="false">
      <c r="A159" s="14" t="n">
        <v>87</v>
      </c>
      <c r="B159" s="14" t="s">
        <v>47</v>
      </c>
      <c r="C159" s="14" t="s">
        <v>1399</v>
      </c>
      <c r="D159" s="14" t="s">
        <v>844</v>
      </c>
      <c r="E159" s="14" t="s">
        <v>1342</v>
      </c>
    </row>
    <row r="160" customFormat="false" ht="23.85" hidden="false" customHeight="false" outlineLevel="0" collapsed="false">
      <c r="A160" s="14" t="n">
        <v>87</v>
      </c>
      <c r="B160" s="14" t="s">
        <v>49</v>
      </c>
      <c r="C160" s="14" t="s">
        <v>1339</v>
      </c>
      <c r="D160" s="14" t="s">
        <v>70</v>
      </c>
      <c r="E160" s="14" t="s">
        <v>1340</v>
      </c>
    </row>
    <row r="161" customFormat="false" ht="35.05" hidden="false" customHeight="false" outlineLevel="0" collapsed="false">
      <c r="A161" s="14" t="n">
        <v>88</v>
      </c>
      <c r="B161" s="14" t="s">
        <v>47</v>
      </c>
      <c r="C161" s="14" t="s">
        <v>1400</v>
      </c>
      <c r="D161" s="14" t="s">
        <v>853</v>
      </c>
      <c r="E161" s="14" t="s">
        <v>1342</v>
      </c>
    </row>
    <row r="162" customFormat="false" ht="23.85" hidden="false" customHeight="false" outlineLevel="0" collapsed="false">
      <c r="A162" s="14" t="n">
        <v>88</v>
      </c>
      <c r="B162" s="14" t="s">
        <v>49</v>
      </c>
      <c r="C162" s="14" t="s">
        <v>1339</v>
      </c>
      <c r="D162" s="14" t="s">
        <v>70</v>
      </c>
      <c r="E162" s="14" t="s">
        <v>1340</v>
      </c>
    </row>
    <row r="163" customFormat="false" ht="23.85" hidden="false" customHeight="false" outlineLevel="0" collapsed="false">
      <c r="A163" s="14" t="n">
        <v>89</v>
      </c>
      <c r="B163" s="14" t="s">
        <v>49</v>
      </c>
      <c r="C163" s="14" t="s">
        <v>1339</v>
      </c>
      <c r="D163" s="14" t="s">
        <v>70</v>
      </c>
      <c r="E163" s="14" t="s">
        <v>1340</v>
      </c>
    </row>
    <row r="164" customFormat="false" ht="23.85" hidden="false" customHeight="false" outlineLevel="0" collapsed="false">
      <c r="A164" s="14" t="n">
        <v>90</v>
      </c>
      <c r="B164" s="14" t="s">
        <v>47</v>
      </c>
      <c r="C164" s="14" t="s">
        <v>1401</v>
      </c>
      <c r="D164" s="14" t="s">
        <v>866</v>
      </c>
      <c r="E164" s="14" t="s">
        <v>1342</v>
      </c>
    </row>
    <row r="165" customFormat="false" ht="23.85" hidden="false" customHeight="false" outlineLevel="0" collapsed="false">
      <c r="A165" s="14" t="n">
        <v>90</v>
      </c>
      <c r="B165" s="14" t="s">
        <v>49</v>
      </c>
      <c r="C165" s="14" t="s">
        <v>1339</v>
      </c>
      <c r="D165" s="14" t="s">
        <v>70</v>
      </c>
      <c r="E165" s="14" t="s">
        <v>1340</v>
      </c>
    </row>
    <row r="166" customFormat="false" ht="91" hidden="false" customHeight="false" outlineLevel="0" collapsed="false">
      <c r="A166" s="14" t="n">
        <v>91</v>
      </c>
      <c r="B166" s="14" t="s">
        <v>47</v>
      </c>
      <c r="C166" s="14" t="s">
        <v>1402</v>
      </c>
      <c r="D166" s="14" t="s">
        <v>874</v>
      </c>
      <c r="E166" s="14" t="s">
        <v>1342</v>
      </c>
    </row>
    <row r="167" customFormat="false" ht="23.85" hidden="false" customHeight="false" outlineLevel="0" collapsed="false">
      <c r="A167" s="14" t="n">
        <v>91</v>
      </c>
      <c r="B167" s="14" t="s">
        <v>49</v>
      </c>
      <c r="C167" s="14" t="s">
        <v>1339</v>
      </c>
      <c r="D167" s="14" t="s">
        <v>70</v>
      </c>
      <c r="E167" s="14" t="s">
        <v>1340</v>
      </c>
    </row>
    <row r="168" customFormat="false" ht="57.45" hidden="false" customHeight="false" outlineLevel="0" collapsed="false">
      <c r="A168" s="14" t="n">
        <v>92</v>
      </c>
      <c r="B168" s="14" t="s">
        <v>47</v>
      </c>
      <c r="C168" s="14" t="s">
        <v>1403</v>
      </c>
      <c r="D168" s="14" t="s">
        <v>883</v>
      </c>
      <c r="E168" s="14" t="s">
        <v>1342</v>
      </c>
    </row>
    <row r="169" customFormat="false" ht="23.85" hidden="false" customHeight="false" outlineLevel="0" collapsed="false">
      <c r="A169" s="14" t="n">
        <v>92</v>
      </c>
      <c r="B169" s="14" t="s">
        <v>49</v>
      </c>
      <c r="C169" s="14" t="s">
        <v>1339</v>
      </c>
      <c r="D169" s="14" t="s">
        <v>70</v>
      </c>
      <c r="E169" s="14" t="s">
        <v>1340</v>
      </c>
    </row>
    <row r="170" customFormat="false" ht="23.85" hidden="false" customHeight="false" outlineLevel="0" collapsed="false">
      <c r="A170" s="14" t="n">
        <v>93</v>
      </c>
      <c r="B170" s="14" t="s">
        <v>28</v>
      </c>
      <c r="C170" s="14" t="s">
        <v>1404</v>
      </c>
      <c r="D170" s="14" t="s">
        <v>890</v>
      </c>
      <c r="E170" s="14" t="s">
        <v>1344</v>
      </c>
    </row>
    <row r="171" customFormat="false" ht="23.85" hidden="false" customHeight="false" outlineLevel="0" collapsed="false">
      <c r="A171" s="14" t="n">
        <v>93</v>
      </c>
      <c r="B171" s="14" t="s">
        <v>47</v>
      </c>
      <c r="C171" s="14" t="s">
        <v>1405</v>
      </c>
      <c r="D171" s="14" t="s">
        <v>891</v>
      </c>
      <c r="E171" s="14" t="s">
        <v>1342</v>
      </c>
    </row>
    <row r="172" customFormat="false" ht="23.85" hidden="false" customHeight="false" outlineLevel="0" collapsed="false">
      <c r="A172" s="14" t="n">
        <v>93</v>
      </c>
      <c r="B172" s="14" t="s">
        <v>49</v>
      </c>
      <c r="C172" s="14" t="s">
        <v>1339</v>
      </c>
      <c r="D172" s="14" t="s">
        <v>70</v>
      </c>
      <c r="E172" s="14" t="s">
        <v>1340</v>
      </c>
    </row>
    <row r="173" customFormat="false" ht="23.85" hidden="false" customHeight="false" outlineLevel="0" collapsed="false">
      <c r="A173" s="14" t="n">
        <v>94</v>
      </c>
      <c r="B173" s="14" t="s">
        <v>49</v>
      </c>
      <c r="C173" s="14" t="s">
        <v>1339</v>
      </c>
      <c r="D173" s="14" t="s">
        <v>70</v>
      </c>
      <c r="E173" s="14" t="s">
        <v>1340</v>
      </c>
    </row>
    <row r="174" customFormat="false" ht="23.85" hidden="false" customHeight="false" outlineLevel="0" collapsed="false">
      <c r="A174" s="14" t="n">
        <v>95</v>
      </c>
      <c r="B174" s="14" t="s">
        <v>28</v>
      </c>
      <c r="C174" s="14" t="s">
        <v>1406</v>
      </c>
      <c r="D174" s="14" t="s">
        <v>909</v>
      </c>
      <c r="E174" s="14" t="s">
        <v>1344</v>
      </c>
    </row>
    <row r="175" customFormat="false" ht="23.85" hidden="false" customHeight="false" outlineLevel="0" collapsed="false">
      <c r="A175" s="14" t="n">
        <v>95</v>
      </c>
      <c r="B175" s="14" t="s">
        <v>49</v>
      </c>
      <c r="C175" s="14" t="s">
        <v>1339</v>
      </c>
      <c r="D175" s="14" t="s">
        <v>70</v>
      </c>
      <c r="E175" s="14" t="s">
        <v>1340</v>
      </c>
    </row>
    <row r="176" customFormat="false" ht="91" hidden="false" customHeight="false" outlineLevel="0" collapsed="false">
      <c r="A176" s="14" t="n">
        <v>96</v>
      </c>
      <c r="B176" s="14" t="s">
        <v>47</v>
      </c>
      <c r="C176" s="14" t="s">
        <v>1407</v>
      </c>
      <c r="D176" s="14" t="s">
        <v>918</v>
      </c>
      <c r="E176" s="14" t="s">
        <v>1342</v>
      </c>
    </row>
    <row r="177" customFormat="false" ht="23.85" hidden="false" customHeight="false" outlineLevel="0" collapsed="false">
      <c r="A177" s="14" t="n">
        <v>96</v>
      </c>
      <c r="B177" s="14" t="s">
        <v>49</v>
      </c>
      <c r="C177" s="14" t="s">
        <v>1339</v>
      </c>
      <c r="D177" s="14" t="s">
        <v>70</v>
      </c>
      <c r="E177" s="14" t="s">
        <v>1340</v>
      </c>
    </row>
    <row r="178" customFormat="false" ht="15" hidden="false" customHeight="false" outlineLevel="0" collapsed="false">
      <c r="A178" s="14" t="n">
        <v>97</v>
      </c>
      <c r="B178" s="14" t="s">
        <v>46</v>
      </c>
      <c r="C178" s="14" t="s">
        <v>1370</v>
      </c>
      <c r="D178" s="14" t="s">
        <v>491</v>
      </c>
      <c r="E178" s="14" t="s">
        <v>1366</v>
      </c>
    </row>
    <row r="179" customFormat="false" ht="23.85" hidden="false" customHeight="false" outlineLevel="0" collapsed="false">
      <c r="A179" s="14" t="n">
        <v>97</v>
      </c>
      <c r="B179" s="14" t="s">
        <v>49</v>
      </c>
      <c r="C179" s="14" t="s">
        <v>1339</v>
      </c>
      <c r="D179" s="14" t="s">
        <v>70</v>
      </c>
      <c r="E179" s="14" t="s">
        <v>1340</v>
      </c>
    </row>
    <row r="180" customFormat="false" ht="23.85" hidden="false" customHeight="false" outlineLevel="0" collapsed="false">
      <c r="A180" s="14" t="n">
        <v>98</v>
      </c>
      <c r="B180" s="14" t="s">
        <v>46</v>
      </c>
      <c r="C180" s="14" t="s">
        <v>1372</v>
      </c>
      <c r="D180" s="14" t="s">
        <v>524</v>
      </c>
      <c r="E180" s="14" t="s">
        <v>1366</v>
      </c>
    </row>
    <row r="181" customFormat="false" ht="23.85" hidden="false" customHeight="false" outlineLevel="0" collapsed="false">
      <c r="A181" s="14" t="n">
        <v>98</v>
      </c>
      <c r="B181" s="14" t="s">
        <v>49</v>
      </c>
      <c r="C181" s="14" t="s">
        <v>1339</v>
      </c>
      <c r="D181" s="14" t="s">
        <v>70</v>
      </c>
      <c r="E181" s="14" t="s">
        <v>1340</v>
      </c>
    </row>
    <row r="182" customFormat="false" ht="102.2" hidden="false" customHeight="false" outlineLevel="0" collapsed="false">
      <c r="A182" s="14" t="n">
        <v>99</v>
      </c>
      <c r="B182" s="14" t="s">
        <v>47</v>
      </c>
      <c r="C182" s="14" t="s">
        <v>1408</v>
      </c>
      <c r="D182" s="14" t="s">
        <v>942</v>
      </c>
      <c r="E182" s="14" t="s">
        <v>1342</v>
      </c>
    </row>
    <row r="183" customFormat="false" ht="23.85" hidden="false" customHeight="false" outlineLevel="0" collapsed="false">
      <c r="A183" s="14" t="n">
        <v>99</v>
      </c>
      <c r="B183" s="14" t="s">
        <v>49</v>
      </c>
      <c r="C183" s="14" t="s">
        <v>1409</v>
      </c>
      <c r="D183" s="14" t="s">
        <v>943</v>
      </c>
      <c r="E183" s="14" t="s">
        <v>1340</v>
      </c>
    </row>
    <row r="184" customFormat="false" ht="57.45" hidden="false" customHeight="false" outlineLevel="0" collapsed="false">
      <c r="A184" s="14" t="n">
        <v>100</v>
      </c>
      <c r="B184" s="14" t="s">
        <v>47</v>
      </c>
      <c r="C184" s="14" t="s">
        <v>1410</v>
      </c>
      <c r="D184" s="14" t="s">
        <v>953</v>
      </c>
      <c r="E184" s="14" t="s">
        <v>1342</v>
      </c>
    </row>
    <row r="185" customFormat="false" ht="91" hidden="false" customHeight="false" outlineLevel="0" collapsed="false">
      <c r="A185" s="14" t="n">
        <v>100</v>
      </c>
      <c r="B185" s="14" t="s">
        <v>49</v>
      </c>
      <c r="C185" s="14" t="s">
        <v>1411</v>
      </c>
      <c r="D185" s="14" t="s">
        <v>954</v>
      </c>
      <c r="E185" s="14" t="s">
        <v>1340</v>
      </c>
    </row>
    <row r="186" customFormat="false" ht="35.05" hidden="false" customHeight="false" outlineLevel="0" collapsed="false">
      <c r="A186" s="14" t="n">
        <v>101</v>
      </c>
      <c r="B186" s="14" t="s">
        <v>47</v>
      </c>
      <c r="C186" s="14" t="s">
        <v>1412</v>
      </c>
      <c r="D186" s="14" t="s">
        <v>961</v>
      </c>
      <c r="E186" s="14" t="s">
        <v>1342</v>
      </c>
    </row>
    <row r="187" customFormat="false" ht="23.85" hidden="false" customHeight="false" outlineLevel="0" collapsed="false">
      <c r="A187" s="14" t="n">
        <v>101</v>
      </c>
      <c r="B187" s="14" t="s">
        <v>49</v>
      </c>
      <c r="C187" s="14" t="s">
        <v>1413</v>
      </c>
      <c r="D187" s="14" t="s">
        <v>962</v>
      </c>
      <c r="E187" s="14" t="s">
        <v>1340</v>
      </c>
    </row>
    <row r="188" customFormat="false" ht="35.05" hidden="false" customHeight="false" outlineLevel="0" collapsed="false">
      <c r="A188" s="14" t="n">
        <v>102</v>
      </c>
      <c r="B188" s="14" t="s">
        <v>47</v>
      </c>
      <c r="C188" s="14" t="s">
        <v>1414</v>
      </c>
      <c r="D188" s="14" t="s">
        <v>971</v>
      </c>
      <c r="E188" s="14" t="s">
        <v>1342</v>
      </c>
    </row>
    <row r="189" customFormat="false" ht="23.85" hidden="false" customHeight="false" outlineLevel="0" collapsed="false">
      <c r="A189" s="14" t="n">
        <v>102</v>
      </c>
      <c r="B189" s="14" t="s">
        <v>49</v>
      </c>
      <c r="C189" s="14" t="s">
        <v>1415</v>
      </c>
      <c r="D189" s="14" t="s">
        <v>972</v>
      </c>
      <c r="E189" s="14" t="s">
        <v>1340</v>
      </c>
    </row>
    <row r="190" customFormat="false" ht="91" hidden="false" customHeight="false" outlineLevel="0" collapsed="false">
      <c r="A190" s="14" t="n">
        <v>103</v>
      </c>
      <c r="B190" s="14" t="s">
        <v>47</v>
      </c>
      <c r="C190" s="14" t="s">
        <v>1416</v>
      </c>
      <c r="D190" s="14" t="s">
        <v>980</v>
      </c>
      <c r="E190" s="14" t="s">
        <v>1342</v>
      </c>
    </row>
    <row r="191" customFormat="false" ht="35.05" hidden="false" customHeight="false" outlineLevel="0" collapsed="false">
      <c r="A191" s="14" t="n">
        <v>104</v>
      </c>
      <c r="B191" s="14" t="s">
        <v>47</v>
      </c>
      <c r="C191" s="14" t="s">
        <v>1417</v>
      </c>
      <c r="D191" s="14" t="s">
        <v>988</v>
      </c>
      <c r="E191" s="14" t="s">
        <v>1342</v>
      </c>
    </row>
    <row r="192" customFormat="false" ht="23.85" hidden="false" customHeight="false" outlineLevel="0" collapsed="false">
      <c r="A192" s="14" t="n">
        <v>105</v>
      </c>
      <c r="B192" s="14" t="s">
        <v>47</v>
      </c>
      <c r="C192" s="14" t="s">
        <v>1418</v>
      </c>
      <c r="D192" s="14" t="s">
        <v>998</v>
      </c>
      <c r="E192" s="14" t="s">
        <v>1342</v>
      </c>
    </row>
    <row r="193" customFormat="false" ht="23.85" hidden="false" customHeight="false" outlineLevel="0" collapsed="false">
      <c r="A193" s="14" t="n">
        <v>105</v>
      </c>
      <c r="B193" s="14" t="s">
        <v>49</v>
      </c>
      <c r="C193" s="14" t="s">
        <v>1419</v>
      </c>
      <c r="D193" s="14" t="s">
        <v>999</v>
      </c>
      <c r="E193" s="14" t="s">
        <v>1340</v>
      </c>
    </row>
    <row r="194" customFormat="false" ht="23.85" hidden="false" customHeight="false" outlineLevel="0" collapsed="false">
      <c r="A194" s="14" t="n">
        <v>106</v>
      </c>
      <c r="B194" s="14" t="s">
        <v>47</v>
      </c>
      <c r="C194" s="14" t="s">
        <v>1420</v>
      </c>
      <c r="D194" s="14" t="s">
        <v>1006</v>
      </c>
      <c r="E194" s="14" t="s">
        <v>1342</v>
      </c>
    </row>
    <row r="195" customFormat="false" ht="91" hidden="false" customHeight="false" outlineLevel="0" collapsed="false">
      <c r="A195" s="14" t="n">
        <v>107</v>
      </c>
      <c r="B195" s="14" t="s">
        <v>49</v>
      </c>
      <c r="C195" s="14" t="s">
        <v>1421</v>
      </c>
      <c r="D195" s="14" t="s">
        <v>1014</v>
      </c>
      <c r="E195" s="14" t="s">
        <v>1340</v>
      </c>
    </row>
    <row r="196" customFormat="false" ht="147" hidden="false" customHeight="false" outlineLevel="0" collapsed="false">
      <c r="A196" s="14" t="n">
        <v>108</v>
      </c>
      <c r="B196" s="14" t="s">
        <v>47</v>
      </c>
      <c r="C196" s="14" t="s">
        <v>1422</v>
      </c>
      <c r="D196" s="14" t="s">
        <v>1021</v>
      </c>
      <c r="E196" s="14" t="s">
        <v>1342</v>
      </c>
    </row>
    <row r="197" customFormat="false" ht="370.85" hidden="false" customHeight="false" outlineLevel="0" collapsed="false">
      <c r="A197" s="14" t="n">
        <v>108</v>
      </c>
      <c r="B197" s="14" t="s">
        <v>49</v>
      </c>
      <c r="C197" s="14" t="s">
        <v>1423</v>
      </c>
      <c r="D197" s="14" t="s">
        <v>1022</v>
      </c>
      <c r="E197" s="14" t="s">
        <v>1340</v>
      </c>
    </row>
    <row r="198" customFormat="false" ht="46.25" hidden="false" customHeight="false" outlineLevel="0" collapsed="false">
      <c r="A198" s="14" t="n">
        <v>109</v>
      </c>
      <c r="B198" s="14" t="s">
        <v>47</v>
      </c>
      <c r="C198" s="14" t="s">
        <v>1424</v>
      </c>
      <c r="D198" s="14" t="s">
        <v>1029</v>
      </c>
      <c r="E198" s="14" t="s">
        <v>1342</v>
      </c>
    </row>
    <row r="199" customFormat="false" ht="91" hidden="false" customHeight="false" outlineLevel="0" collapsed="false">
      <c r="A199" s="14" t="n">
        <v>109</v>
      </c>
      <c r="B199" s="14" t="s">
        <v>49</v>
      </c>
      <c r="C199" s="14" t="s">
        <v>1425</v>
      </c>
      <c r="D199" s="14" t="s">
        <v>1030</v>
      </c>
      <c r="E199" s="14" t="s">
        <v>1340</v>
      </c>
    </row>
    <row r="200" customFormat="false" ht="15" hidden="false" customHeight="false" outlineLevel="0" collapsed="false">
      <c r="A200" s="14" t="n">
        <v>110</v>
      </c>
      <c r="B200" s="14" t="s">
        <v>47</v>
      </c>
      <c r="C200" s="14" t="s">
        <v>1426</v>
      </c>
      <c r="D200" s="14" t="s">
        <v>1037</v>
      </c>
      <c r="E200" s="14" t="s">
        <v>1342</v>
      </c>
    </row>
    <row r="201" customFormat="false" ht="102.2" hidden="false" customHeight="false" outlineLevel="0" collapsed="false">
      <c r="A201" s="14" t="n">
        <v>110</v>
      </c>
      <c r="B201" s="14" t="s">
        <v>49</v>
      </c>
      <c r="C201" s="14" t="s">
        <v>1427</v>
      </c>
      <c r="D201" s="14" t="s">
        <v>1038</v>
      </c>
      <c r="E201" s="14" t="s">
        <v>1340</v>
      </c>
    </row>
    <row r="202" customFormat="false" ht="23.85" hidden="false" customHeight="false" outlineLevel="0" collapsed="false">
      <c r="A202" s="14" t="n">
        <v>111</v>
      </c>
      <c r="B202" s="14" t="s">
        <v>47</v>
      </c>
      <c r="C202" s="14" t="s">
        <v>1428</v>
      </c>
      <c r="D202" s="14" t="s">
        <v>1047</v>
      </c>
      <c r="E202" s="14" t="s">
        <v>1342</v>
      </c>
    </row>
    <row r="203" customFormat="false" ht="23.85" hidden="false" customHeight="false" outlineLevel="0" collapsed="false">
      <c r="A203" s="14" t="n">
        <v>111</v>
      </c>
      <c r="B203" s="14" t="s">
        <v>56</v>
      </c>
      <c r="C203" s="14" t="s">
        <v>1429</v>
      </c>
      <c r="D203" s="14" t="s">
        <v>88</v>
      </c>
      <c r="E203" s="14" t="s">
        <v>1430</v>
      </c>
    </row>
    <row r="204" customFormat="false" ht="57.45" hidden="false" customHeight="false" outlineLevel="0" collapsed="false">
      <c r="A204" s="14" t="n">
        <v>112</v>
      </c>
      <c r="B204" s="14" t="s">
        <v>47</v>
      </c>
      <c r="C204" s="14" t="s">
        <v>1431</v>
      </c>
      <c r="D204" s="14" t="s">
        <v>1059</v>
      </c>
      <c r="E204" s="14" t="s">
        <v>1342</v>
      </c>
    </row>
    <row r="205" customFormat="false" ht="35.05" hidden="false" customHeight="false" outlineLevel="0" collapsed="false">
      <c r="A205" s="14" t="n">
        <v>113</v>
      </c>
      <c r="B205" s="14" t="s">
        <v>47</v>
      </c>
      <c r="C205" s="14" t="s">
        <v>1432</v>
      </c>
      <c r="D205" s="14" t="s">
        <v>1071</v>
      </c>
      <c r="E205" s="14" t="s">
        <v>1342</v>
      </c>
    </row>
    <row r="206" customFormat="false" ht="23.85" hidden="false" customHeight="false" outlineLevel="0" collapsed="false">
      <c r="A206" s="14" t="n">
        <v>114</v>
      </c>
      <c r="B206" s="14" t="s">
        <v>47</v>
      </c>
      <c r="C206" s="14" t="s">
        <v>1433</v>
      </c>
      <c r="D206" s="14" t="s">
        <v>1081</v>
      </c>
      <c r="E206" s="14" t="s">
        <v>1342</v>
      </c>
    </row>
    <row r="207" customFormat="false" ht="35.05" hidden="false" customHeight="false" outlineLevel="0" collapsed="false">
      <c r="A207" s="14" t="n">
        <v>115</v>
      </c>
      <c r="B207" s="14" t="s">
        <v>47</v>
      </c>
      <c r="C207" s="14" t="s">
        <v>1434</v>
      </c>
      <c r="D207" s="14" t="s">
        <v>1094</v>
      </c>
      <c r="E207" s="14" t="s">
        <v>1342</v>
      </c>
    </row>
    <row r="208" customFormat="false" ht="35.05" hidden="false" customHeight="false" outlineLevel="0" collapsed="false">
      <c r="A208" s="14" t="n">
        <v>116</v>
      </c>
      <c r="B208" s="14" t="s">
        <v>47</v>
      </c>
      <c r="C208" s="14" t="s">
        <v>1435</v>
      </c>
      <c r="D208" s="14" t="s">
        <v>1107</v>
      </c>
      <c r="E208" s="14" t="s">
        <v>1342</v>
      </c>
    </row>
    <row r="209" customFormat="false" ht="102.2" hidden="false" customHeight="false" outlineLevel="0" collapsed="false">
      <c r="A209" s="14" t="n">
        <v>118</v>
      </c>
      <c r="B209" s="14" t="s">
        <v>47</v>
      </c>
      <c r="C209" s="14" t="s">
        <v>1436</v>
      </c>
      <c r="D209" s="14" t="s">
        <v>1128</v>
      </c>
      <c r="E209" s="14" t="s">
        <v>1342</v>
      </c>
    </row>
    <row r="210" customFormat="false" ht="91" hidden="false" customHeight="false" outlineLevel="0" collapsed="false">
      <c r="A210" s="14" t="n">
        <v>119</v>
      </c>
      <c r="B210" s="14" t="s">
        <v>47</v>
      </c>
      <c r="C210" s="14" t="s">
        <v>1437</v>
      </c>
      <c r="D210" s="14" t="s">
        <v>1137</v>
      </c>
      <c r="E210" s="14" t="s">
        <v>1342</v>
      </c>
    </row>
    <row r="211" customFormat="false" ht="147" hidden="false" customHeight="false" outlineLevel="0" collapsed="false">
      <c r="A211" s="14" t="n">
        <v>119</v>
      </c>
      <c r="B211" s="14" t="s">
        <v>49</v>
      </c>
      <c r="C211" s="14" t="s">
        <v>1438</v>
      </c>
      <c r="D211" s="14" t="s">
        <v>1138</v>
      </c>
      <c r="E211" s="14" t="s">
        <v>1340</v>
      </c>
    </row>
    <row r="212" customFormat="false" ht="23.85" hidden="false" customHeight="false" outlineLevel="0" collapsed="false">
      <c r="A212" s="14" t="n">
        <v>120</v>
      </c>
      <c r="B212" s="14" t="s">
        <v>49</v>
      </c>
      <c r="C212" s="14" t="s">
        <v>1439</v>
      </c>
      <c r="D212" s="14" t="s">
        <v>1147</v>
      </c>
      <c r="E212" s="14" t="s">
        <v>1340</v>
      </c>
    </row>
    <row r="213" customFormat="false" ht="68.65" hidden="false" customHeight="false" outlineLevel="0" collapsed="false">
      <c r="A213" s="14" t="n">
        <v>121</v>
      </c>
      <c r="B213" s="14" t="s">
        <v>47</v>
      </c>
      <c r="C213" s="14" t="s">
        <v>1440</v>
      </c>
      <c r="D213" s="14" t="s">
        <v>1154</v>
      </c>
      <c r="E213" s="14" t="s">
        <v>1342</v>
      </c>
    </row>
    <row r="214" customFormat="false" ht="35.05" hidden="false" customHeight="false" outlineLevel="0" collapsed="false">
      <c r="A214" s="14" t="n">
        <v>122</v>
      </c>
      <c r="B214" s="14" t="s">
        <v>47</v>
      </c>
      <c r="C214" s="14" t="s">
        <v>1441</v>
      </c>
      <c r="D214" s="14" t="s">
        <v>1166</v>
      </c>
      <c r="E214" s="14" t="s">
        <v>1342</v>
      </c>
    </row>
    <row r="215" customFormat="false" ht="79.85" hidden="false" customHeight="false" outlineLevel="0" collapsed="false">
      <c r="A215" s="14" t="n">
        <v>123</v>
      </c>
      <c r="B215" s="14" t="s">
        <v>47</v>
      </c>
      <c r="C215" s="14" t="s">
        <v>1442</v>
      </c>
      <c r="D215" s="14" t="s">
        <v>1177</v>
      </c>
      <c r="E215" s="14" t="s">
        <v>1342</v>
      </c>
    </row>
    <row r="216" customFormat="false" ht="102.2" hidden="false" customHeight="false" outlineLevel="0" collapsed="false">
      <c r="A216" s="14" t="n">
        <v>124</v>
      </c>
      <c r="B216" s="14" t="s">
        <v>47</v>
      </c>
      <c r="C216" s="14" t="s">
        <v>1443</v>
      </c>
      <c r="D216" s="14" t="s">
        <v>1189</v>
      </c>
      <c r="E216" s="14" t="s">
        <v>1342</v>
      </c>
    </row>
    <row r="217" customFormat="false" ht="102.2" hidden="false" customHeight="false" outlineLevel="0" collapsed="false">
      <c r="A217" s="14" t="n">
        <v>125</v>
      </c>
      <c r="B217" s="14" t="s">
        <v>47</v>
      </c>
      <c r="C217" s="14" t="s">
        <v>1444</v>
      </c>
      <c r="D217" s="14" t="s">
        <v>942</v>
      </c>
      <c r="E217" s="14" t="s">
        <v>1342</v>
      </c>
    </row>
    <row r="218" customFormat="false" ht="15" hidden="false" customHeight="false" outlineLevel="0" collapsed="false">
      <c r="A218" s="14" t="n">
        <v>125</v>
      </c>
      <c r="B218" s="14" t="s">
        <v>49</v>
      </c>
      <c r="C218" s="14" t="s">
        <v>1445</v>
      </c>
      <c r="D218" s="14" t="s">
        <v>1201</v>
      </c>
      <c r="E218" s="14" t="s">
        <v>1446</v>
      </c>
    </row>
    <row r="219" customFormat="false" ht="15" hidden="false" customHeight="false" outlineLevel="0" collapsed="false">
      <c r="A219" s="14" t="n">
        <v>126</v>
      </c>
      <c r="B219" s="14" t="s">
        <v>46</v>
      </c>
      <c r="C219" s="14" t="s">
        <v>1370</v>
      </c>
      <c r="D219" s="14" t="s">
        <v>491</v>
      </c>
      <c r="E219" s="14" t="s">
        <v>1366</v>
      </c>
    </row>
    <row r="220" customFormat="false" ht="23.85" hidden="false" customHeight="false" outlineLevel="0" collapsed="false">
      <c r="A220" s="14" t="n">
        <v>127</v>
      </c>
      <c r="B220" s="14" t="s">
        <v>49</v>
      </c>
      <c r="C220" s="14" t="s">
        <v>1447</v>
      </c>
      <c r="D220" s="14" t="s">
        <v>1201</v>
      </c>
      <c r="E220" s="14" t="s">
        <v>1340</v>
      </c>
    </row>
    <row r="221" customFormat="false" ht="35.05" hidden="false" customHeight="false" outlineLevel="0" collapsed="false">
      <c r="A221" s="14" t="n">
        <v>128</v>
      </c>
      <c r="B221" s="14" t="s">
        <v>47</v>
      </c>
      <c r="C221" s="14" t="s">
        <v>1448</v>
      </c>
      <c r="D221" s="14" t="s">
        <v>1227</v>
      </c>
      <c r="E221" s="14" t="s">
        <v>1342</v>
      </c>
    </row>
    <row r="222" customFormat="false" ht="15" hidden="false" customHeight="false" outlineLevel="0" collapsed="false">
      <c r="A222" s="14" t="n">
        <v>129</v>
      </c>
      <c r="B222" s="14" t="s">
        <v>46</v>
      </c>
      <c r="C222" s="14" t="s">
        <v>1370</v>
      </c>
      <c r="D222" s="14" t="s">
        <v>491</v>
      </c>
      <c r="E222" s="14" t="s">
        <v>1366</v>
      </c>
    </row>
    <row r="223" customFormat="false" ht="15" hidden="false" customHeight="false" outlineLevel="0" collapsed="false">
      <c r="A223" s="14" t="n">
        <v>130</v>
      </c>
      <c r="B223" s="14" t="s">
        <v>46</v>
      </c>
      <c r="C223" s="14" t="s">
        <v>1370</v>
      </c>
      <c r="D223" s="14" t="s">
        <v>491</v>
      </c>
      <c r="E223" s="14" t="s">
        <v>1366</v>
      </c>
    </row>
    <row r="224" customFormat="false" ht="35.05" hidden="false" customHeight="false" outlineLevel="0" collapsed="false">
      <c r="A224" s="14" t="n">
        <v>130</v>
      </c>
      <c r="B224" s="14" t="s">
        <v>47</v>
      </c>
      <c r="C224" s="14" t="s">
        <v>1449</v>
      </c>
      <c r="D224" s="14" t="s">
        <v>1242</v>
      </c>
      <c r="E224" s="14" t="s">
        <v>1342</v>
      </c>
    </row>
    <row r="225" customFormat="false" ht="23.85" hidden="false" customHeight="false" outlineLevel="0" collapsed="false">
      <c r="A225" s="14" t="n">
        <v>130</v>
      </c>
      <c r="B225" s="14" t="s">
        <v>49</v>
      </c>
      <c r="C225" s="14" t="s">
        <v>1450</v>
      </c>
      <c r="D225" s="14" t="s">
        <v>1243</v>
      </c>
      <c r="E225" s="14" t="s">
        <v>1340</v>
      </c>
    </row>
    <row r="226" customFormat="false" ht="35.05" hidden="false" customHeight="false" outlineLevel="0" collapsed="false">
      <c r="A226" s="14" t="n">
        <v>131</v>
      </c>
      <c r="B226" s="14" t="s">
        <v>47</v>
      </c>
      <c r="C226" s="14" t="s">
        <v>1451</v>
      </c>
      <c r="D226" s="14" t="s">
        <v>1251</v>
      </c>
      <c r="E226" s="14" t="s">
        <v>1342</v>
      </c>
    </row>
    <row r="227" customFormat="false" ht="23.85" hidden="false" customHeight="false" outlineLevel="0" collapsed="false">
      <c r="A227" s="14" t="n">
        <v>131</v>
      </c>
      <c r="B227" s="14" t="s">
        <v>49</v>
      </c>
      <c r="C227" s="14" t="s">
        <v>1339</v>
      </c>
      <c r="D227" s="14" t="s">
        <v>70</v>
      </c>
      <c r="E227" s="14" t="s">
        <v>1340</v>
      </c>
    </row>
    <row r="228" customFormat="false" ht="23.85" hidden="false" customHeight="false" outlineLevel="0" collapsed="false">
      <c r="A228" s="14" t="n">
        <v>132</v>
      </c>
      <c r="B228" s="14" t="s">
        <v>47</v>
      </c>
      <c r="C228" s="14" t="s">
        <v>1452</v>
      </c>
      <c r="D228" s="14" t="s">
        <v>1262</v>
      </c>
      <c r="E228" s="14" t="s">
        <v>1342</v>
      </c>
    </row>
    <row r="229" customFormat="false" ht="23.85" hidden="false" customHeight="false" outlineLevel="0" collapsed="false">
      <c r="A229" s="14" t="n">
        <v>132</v>
      </c>
      <c r="B229" s="14" t="s">
        <v>49</v>
      </c>
      <c r="C229" s="14" t="s">
        <v>1339</v>
      </c>
      <c r="D229" s="14" t="s">
        <v>70</v>
      </c>
      <c r="E229" s="14" t="s">
        <v>1340</v>
      </c>
    </row>
    <row r="230" customFormat="false" ht="23.85" hidden="false" customHeight="false" outlineLevel="0" collapsed="false">
      <c r="A230" s="14" t="n">
        <v>133</v>
      </c>
      <c r="B230" s="14" t="s">
        <v>49</v>
      </c>
      <c r="C230" s="14" t="s">
        <v>1339</v>
      </c>
      <c r="D230" s="14" t="s">
        <v>70</v>
      </c>
      <c r="E230" s="14" t="s">
        <v>1340</v>
      </c>
    </row>
    <row r="231" customFormat="false" ht="68.65" hidden="false" customHeight="false" outlineLevel="0" collapsed="false">
      <c r="A231" s="14" t="n">
        <v>134</v>
      </c>
      <c r="B231" s="14" t="s">
        <v>47</v>
      </c>
      <c r="C231" s="14" t="s">
        <v>1453</v>
      </c>
      <c r="D231" s="14" t="s">
        <v>1283</v>
      </c>
      <c r="E231" s="14" t="s">
        <v>1342</v>
      </c>
    </row>
    <row r="232" customFormat="false" ht="23.85" hidden="false" customHeight="false" outlineLevel="0" collapsed="false">
      <c r="A232" s="14" t="n">
        <v>134</v>
      </c>
      <c r="B232" s="14" t="s">
        <v>49</v>
      </c>
      <c r="C232" s="14" t="s">
        <v>1339</v>
      </c>
      <c r="D232" s="14" t="s">
        <v>70</v>
      </c>
      <c r="E232" s="14" t="s">
        <v>1340</v>
      </c>
    </row>
    <row r="233" customFormat="false" ht="23.85" hidden="false" customHeight="false" outlineLevel="0" collapsed="false">
      <c r="A233" s="14" t="n">
        <v>135</v>
      </c>
      <c r="B233" s="14" t="s">
        <v>49</v>
      </c>
      <c r="C233" s="14" t="s">
        <v>1339</v>
      </c>
      <c r="D233" s="14" t="s">
        <v>70</v>
      </c>
      <c r="E233" s="14" t="s">
        <v>1340</v>
      </c>
    </row>
    <row r="234" customFormat="false" ht="35.05" hidden="false" customHeight="false" outlineLevel="0" collapsed="false">
      <c r="A234" s="14" t="n">
        <v>136</v>
      </c>
      <c r="B234" s="14" t="s">
        <v>47</v>
      </c>
      <c r="C234" s="14" t="s">
        <v>1454</v>
      </c>
      <c r="D234" s="14" t="s">
        <v>1305</v>
      </c>
      <c r="E234" s="14" t="s">
        <v>1342</v>
      </c>
    </row>
    <row r="235" customFormat="false" ht="23.85" hidden="false" customHeight="false" outlineLevel="0" collapsed="false">
      <c r="A235" s="14" t="n">
        <v>136</v>
      </c>
      <c r="B235" s="14" t="s">
        <v>49</v>
      </c>
      <c r="C235" s="14" t="s">
        <v>1339</v>
      </c>
      <c r="D235" s="14" t="s">
        <v>70</v>
      </c>
      <c r="E235" s="14" t="s">
        <v>1340</v>
      </c>
    </row>
  </sheetData>
  <autoFilter ref="A1:E2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70"/>
    <col collapsed="false" customWidth="true" hidden="false" outlineLevel="0" max="4" min="4" style="0" width="55"/>
    <col collapsed="false" customWidth="true" hidden="false" outlineLevel="0" max="5" min="5" style="0" width="14"/>
  </cols>
  <sheetData>
    <row r="1" customFormat="false" ht="15" hidden="false" customHeight="false" outlineLevel="0" collapsed="false">
      <c r="A1" s="25" t="s">
        <v>41</v>
      </c>
      <c r="B1" s="25" t="s">
        <v>1455</v>
      </c>
      <c r="C1" s="25" t="s">
        <v>1456</v>
      </c>
      <c r="D1" s="25" t="s">
        <v>1457</v>
      </c>
      <c r="E1" s="25" t="s">
        <v>1458</v>
      </c>
    </row>
    <row r="2" customFormat="false" ht="15" hidden="false" customHeight="false" outlineLevel="0" collapsed="false">
      <c r="A2" s="14" t="s">
        <v>1459</v>
      </c>
      <c r="B2" s="14" t="s">
        <v>62</v>
      </c>
      <c r="C2" s="14" t="s">
        <v>1460</v>
      </c>
      <c r="D2" s="14" t="s">
        <v>1461</v>
      </c>
      <c r="E2" s="7" t="s">
        <v>1462</v>
      </c>
    </row>
    <row r="3" customFormat="false" ht="23.85" hidden="false" customHeight="false" outlineLevel="0" collapsed="false">
      <c r="A3" s="14" t="s">
        <v>1459</v>
      </c>
      <c r="B3" s="14" t="s">
        <v>46</v>
      </c>
      <c r="C3" s="14" t="s">
        <v>1463</v>
      </c>
      <c r="D3" s="14" t="s">
        <v>1464</v>
      </c>
      <c r="E3" s="7" t="s">
        <v>1462</v>
      </c>
    </row>
    <row r="4" customFormat="false" ht="35.05" hidden="false" customHeight="false" outlineLevel="0" collapsed="false">
      <c r="A4" s="14" t="s">
        <v>1459</v>
      </c>
      <c r="B4" s="14" t="s">
        <v>45</v>
      </c>
      <c r="C4" s="14" t="s">
        <v>1465</v>
      </c>
      <c r="D4" s="14" t="s">
        <v>1466</v>
      </c>
      <c r="E4" s="7" t="s">
        <v>1462</v>
      </c>
    </row>
    <row r="5" customFormat="false" ht="23.85" hidden="false" customHeight="false" outlineLevel="0" collapsed="false">
      <c r="A5" s="14" t="s">
        <v>1459</v>
      </c>
      <c r="B5" s="14" t="s">
        <v>45</v>
      </c>
      <c r="C5" s="14" t="s">
        <v>1467</v>
      </c>
      <c r="D5" s="14" t="s">
        <v>1468</v>
      </c>
      <c r="E5" s="7" t="s">
        <v>1462</v>
      </c>
    </row>
    <row r="6" customFormat="false" ht="15" hidden="false" customHeight="false" outlineLevel="0" collapsed="false">
      <c r="A6" s="14" t="n">
        <v>3</v>
      </c>
      <c r="B6" s="14" t="s">
        <v>1469</v>
      </c>
      <c r="C6" s="14" t="s">
        <v>107</v>
      </c>
      <c r="D6" s="14" t="s">
        <v>1470</v>
      </c>
      <c r="E6" s="7" t="s">
        <v>1462</v>
      </c>
    </row>
    <row r="7" customFormat="false" ht="23.85" hidden="false" customHeight="false" outlineLevel="0" collapsed="false">
      <c r="A7" s="14" t="n">
        <v>21</v>
      </c>
      <c r="B7" s="14" t="s">
        <v>43</v>
      </c>
      <c r="C7" s="14" t="s">
        <v>1471</v>
      </c>
      <c r="D7" s="14" t="s">
        <v>1472</v>
      </c>
      <c r="E7" s="7" t="s">
        <v>1462</v>
      </c>
    </row>
    <row r="8" customFormat="false" ht="15" hidden="false" customHeight="false" outlineLevel="0" collapsed="false">
      <c r="A8" s="14" t="n">
        <v>50</v>
      </c>
      <c r="B8" s="14" t="s">
        <v>59</v>
      </c>
      <c r="C8" s="14" t="s">
        <v>107</v>
      </c>
      <c r="D8" s="14" t="s">
        <v>1473</v>
      </c>
      <c r="E8" s="7" t="s">
        <v>1462</v>
      </c>
    </row>
    <row r="9" customFormat="false" ht="15" hidden="false" customHeight="false" outlineLevel="0" collapsed="false">
      <c r="A9" s="14" t="n">
        <v>61</v>
      </c>
      <c r="B9" s="14" t="s">
        <v>1474</v>
      </c>
      <c r="C9" s="14" t="s">
        <v>1475</v>
      </c>
      <c r="D9" s="14" t="s">
        <v>1476</v>
      </c>
      <c r="E9" s="7" t="s">
        <v>1462</v>
      </c>
    </row>
    <row r="10" customFormat="false" ht="15" hidden="false" customHeight="false" outlineLevel="0" collapsed="false">
      <c r="A10" s="14" t="n">
        <v>89</v>
      </c>
      <c r="B10" s="14" t="s">
        <v>57</v>
      </c>
      <c r="C10" s="14" t="s">
        <v>107</v>
      </c>
      <c r="D10" s="14" t="s">
        <v>1470</v>
      </c>
      <c r="E10" s="7" t="s">
        <v>1462</v>
      </c>
    </row>
    <row r="11" customFormat="false" ht="23.85" hidden="false" customHeight="false" outlineLevel="0" collapsed="false">
      <c r="A11" s="14" t="n">
        <v>93</v>
      </c>
      <c r="B11" s="14" t="s">
        <v>48</v>
      </c>
      <c r="C11" s="14" t="s">
        <v>899</v>
      </c>
      <c r="D11" s="14" t="s">
        <v>1477</v>
      </c>
      <c r="E11" s="7" t="s">
        <v>1462</v>
      </c>
    </row>
    <row r="12" customFormat="false" ht="15" hidden="false" customHeight="false" outlineLevel="0" collapsed="false">
      <c r="A12" s="14" t="n">
        <v>102</v>
      </c>
      <c r="B12" s="14" t="s">
        <v>49</v>
      </c>
      <c r="C12" s="14" t="s">
        <v>1478</v>
      </c>
      <c r="D12" s="14" t="s">
        <v>1479</v>
      </c>
      <c r="E12" s="7" t="s">
        <v>1462</v>
      </c>
    </row>
    <row r="13" customFormat="false" ht="15" hidden="false" customHeight="false" outlineLevel="0" collapsed="false">
      <c r="A13" s="14" t="n">
        <v>104</v>
      </c>
      <c r="B13" s="14" t="s">
        <v>49</v>
      </c>
      <c r="C13" s="14" t="s">
        <v>996</v>
      </c>
      <c r="D13" s="14" t="s">
        <v>1480</v>
      </c>
      <c r="E13" s="7" t="s">
        <v>1462</v>
      </c>
    </row>
    <row r="14" customFormat="false" ht="23.85" hidden="false" customHeight="false" outlineLevel="0" collapsed="false">
      <c r="A14" s="14" t="n">
        <v>105</v>
      </c>
      <c r="B14" s="14" t="s">
        <v>49</v>
      </c>
      <c r="C14" s="14" t="s">
        <v>1481</v>
      </c>
      <c r="D14" s="14" t="s">
        <v>1479</v>
      </c>
      <c r="E14" s="7" t="s">
        <v>1462</v>
      </c>
    </row>
    <row r="15" customFormat="false" ht="15" hidden="false" customHeight="false" outlineLevel="0" collapsed="false">
      <c r="A15" s="14" t="n">
        <v>106</v>
      </c>
      <c r="B15" s="14" t="s">
        <v>49</v>
      </c>
      <c r="C15" s="14" t="s">
        <v>996</v>
      </c>
      <c r="D15" s="14" t="s">
        <v>1480</v>
      </c>
      <c r="E15" s="7" t="s">
        <v>1462</v>
      </c>
    </row>
    <row r="16" customFormat="false" ht="15" hidden="false" customHeight="false" outlineLevel="0" collapsed="false">
      <c r="A16" s="14" t="n">
        <v>107</v>
      </c>
      <c r="B16" s="14" t="s">
        <v>49</v>
      </c>
      <c r="C16" s="14" t="s">
        <v>1482</v>
      </c>
      <c r="D16" s="14" t="s">
        <v>1479</v>
      </c>
      <c r="E16" s="7" t="s">
        <v>1462</v>
      </c>
    </row>
    <row r="17" customFormat="false" ht="15" hidden="false" customHeight="false" outlineLevel="0" collapsed="false">
      <c r="A17" s="14" t="n">
        <v>108</v>
      </c>
      <c r="B17" s="14" t="s">
        <v>49</v>
      </c>
      <c r="C17" s="14" t="s">
        <v>1483</v>
      </c>
      <c r="D17" s="14" t="s">
        <v>1479</v>
      </c>
      <c r="E17" s="7" t="s">
        <v>1462</v>
      </c>
    </row>
    <row r="18" customFormat="false" ht="15" hidden="false" customHeight="false" outlineLevel="0" collapsed="false">
      <c r="A18" s="14" t="n">
        <v>110</v>
      </c>
      <c r="B18" s="14" t="s">
        <v>49</v>
      </c>
      <c r="C18" s="14" t="s">
        <v>1483</v>
      </c>
      <c r="D18" s="14" t="s">
        <v>1479</v>
      </c>
      <c r="E18" s="7" t="s">
        <v>1462</v>
      </c>
    </row>
    <row r="19" customFormat="false" ht="23.85" hidden="false" customHeight="false" outlineLevel="0" collapsed="false">
      <c r="A19" s="14" t="n">
        <v>112</v>
      </c>
      <c r="B19" s="14" t="s">
        <v>1469</v>
      </c>
      <c r="C19" s="14" t="s">
        <v>1484</v>
      </c>
      <c r="D19" s="14" t="s">
        <v>1485</v>
      </c>
      <c r="E19" s="7" t="s">
        <v>1462</v>
      </c>
    </row>
    <row r="20" customFormat="false" ht="15" hidden="false" customHeight="false" outlineLevel="0" collapsed="false">
      <c r="A20" s="14" t="n">
        <v>112</v>
      </c>
      <c r="B20" s="14" t="s">
        <v>54</v>
      </c>
      <c r="C20" s="14" t="s">
        <v>1486</v>
      </c>
      <c r="D20" s="14" t="s">
        <v>1487</v>
      </c>
      <c r="E20" s="7" t="s">
        <v>1462</v>
      </c>
    </row>
    <row r="21" customFormat="false" ht="15" hidden="false" customHeight="false" outlineLevel="0" collapsed="false">
      <c r="A21" s="14" t="n">
        <v>113</v>
      </c>
      <c r="B21" s="14" t="s">
        <v>49</v>
      </c>
      <c r="C21" s="14" t="s">
        <v>996</v>
      </c>
      <c r="D21" s="14" t="s">
        <v>1480</v>
      </c>
      <c r="E21" s="7" t="s">
        <v>1462</v>
      </c>
    </row>
    <row r="22" customFormat="false" ht="15" hidden="false" customHeight="false" outlineLevel="0" collapsed="false">
      <c r="A22" s="14" t="n">
        <v>114</v>
      </c>
      <c r="B22" s="14" t="s">
        <v>49</v>
      </c>
      <c r="C22" s="14" t="s">
        <v>996</v>
      </c>
      <c r="D22" s="14" t="s">
        <v>1480</v>
      </c>
      <c r="E22" s="7" t="s">
        <v>1462</v>
      </c>
    </row>
    <row r="23" customFormat="false" ht="15" hidden="false" customHeight="false" outlineLevel="0" collapsed="false">
      <c r="A23" s="14" t="n">
        <v>114</v>
      </c>
      <c r="B23" s="14" t="s">
        <v>1488</v>
      </c>
      <c r="C23" s="14" t="s">
        <v>1118</v>
      </c>
      <c r="D23" s="14" t="s">
        <v>1489</v>
      </c>
      <c r="E23" s="7" t="s">
        <v>1462</v>
      </c>
    </row>
    <row r="24" customFormat="false" ht="23.85" hidden="false" customHeight="false" outlineLevel="0" collapsed="false">
      <c r="A24" s="14" t="n">
        <v>115</v>
      </c>
      <c r="B24" s="14" t="s">
        <v>59</v>
      </c>
      <c r="C24" s="14" t="s">
        <v>1490</v>
      </c>
      <c r="D24" s="14" t="s">
        <v>1485</v>
      </c>
      <c r="E24" s="7" t="s">
        <v>1462</v>
      </c>
    </row>
    <row r="25" customFormat="false" ht="15" hidden="false" customHeight="false" outlineLevel="0" collapsed="false">
      <c r="A25" s="14" t="n">
        <v>115</v>
      </c>
      <c r="B25" s="14" t="s">
        <v>1488</v>
      </c>
      <c r="C25" s="14" t="s">
        <v>1118</v>
      </c>
      <c r="D25" s="14" t="s">
        <v>1489</v>
      </c>
      <c r="E25" s="7" t="s">
        <v>1462</v>
      </c>
    </row>
    <row r="26" customFormat="false" ht="15" hidden="false" customHeight="false" outlineLevel="0" collapsed="false">
      <c r="A26" s="14" t="n">
        <v>116</v>
      </c>
      <c r="B26" s="14" t="s">
        <v>1488</v>
      </c>
      <c r="C26" s="14" t="s">
        <v>1118</v>
      </c>
      <c r="D26" s="14" t="s">
        <v>1489</v>
      </c>
      <c r="E26" s="7" t="s">
        <v>1462</v>
      </c>
    </row>
    <row r="27" customFormat="false" ht="15" hidden="false" customHeight="false" outlineLevel="0" collapsed="false">
      <c r="A27" s="14" t="n">
        <v>121</v>
      </c>
      <c r="B27" s="14" t="s">
        <v>1488</v>
      </c>
      <c r="C27" s="14" t="s">
        <v>1118</v>
      </c>
      <c r="D27" s="14" t="s">
        <v>1489</v>
      </c>
      <c r="E27" s="7" t="s">
        <v>1462</v>
      </c>
    </row>
    <row r="28" customFormat="false" ht="15" hidden="false" customHeight="false" outlineLevel="0" collapsed="false">
      <c r="A28" s="14" t="n">
        <v>122</v>
      </c>
      <c r="B28" s="14" t="s">
        <v>1488</v>
      </c>
      <c r="C28" s="14" t="s">
        <v>1118</v>
      </c>
      <c r="D28" s="14" t="s">
        <v>1489</v>
      </c>
      <c r="E28" s="7" t="s">
        <v>1462</v>
      </c>
    </row>
    <row r="29" customFormat="false" ht="15" hidden="false" customHeight="false" outlineLevel="0" collapsed="false">
      <c r="A29" s="14" t="n">
        <v>123</v>
      </c>
      <c r="B29" s="14" t="s">
        <v>1488</v>
      </c>
      <c r="C29" s="14" t="s">
        <v>1118</v>
      </c>
      <c r="D29" s="14" t="s">
        <v>1489</v>
      </c>
      <c r="E29" s="7" t="s">
        <v>1462</v>
      </c>
    </row>
    <row r="30" customFormat="false" ht="15" hidden="false" customHeight="false" outlineLevel="0" collapsed="false">
      <c r="A30" s="14" t="n">
        <v>124</v>
      </c>
      <c r="B30" s="14" t="s">
        <v>1488</v>
      </c>
      <c r="C30" s="14" t="s">
        <v>1118</v>
      </c>
      <c r="D30" s="14" t="s">
        <v>1489</v>
      </c>
      <c r="E30" s="7" t="s">
        <v>1462</v>
      </c>
    </row>
    <row r="31" customFormat="false" ht="23.85" hidden="false" customHeight="false" outlineLevel="0" collapsed="false">
      <c r="A31" s="14" t="n">
        <v>125</v>
      </c>
      <c r="B31" s="14" t="s">
        <v>47</v>
      </c>
      <c r="C31" s="14" t="s">
        <v>1491</v>
      </c>
      <c r="D31" s="14" t="s">
        <v>1492</v>
      </c>
      <c r="E31" s="7" t="s">
        <v>1462</v>
      </c>
    </row>
    <row r="32" customFormat="false" ht="15" hidden="false" customHeight="false" outlineLevel="0" collapsed="false">
      <c r="A32" s="14" t="n">
        <v>125</v>
      </c>
      <c r="B32" s="14" t="s">
        <v>1488</v>
      </c>
      <c r="C32" s="14" t="s">
        <v>1118</v>
      </c>
      <c r="D32" s="14" t="s">
        <v>1489</v>
      </c>
      <c r="E32" s="7" t="s">
        <v>1462</v>
      </c>
    </row>
    <row r="33" customFormat="false" ht="15" hidden="false" customHeight="false" outlineLevel="0" collapsed="false">
      <c r="A33" s="14" t="n">
        <v>129</v>
      </c>
      <c r="B33" s="14" t="s">
        <v>49</v>
      </c>
      <c r="C33" s="14" t="s">
        <v>996</v>
      </c>
      <c r="D33" s="14" t="s">
        <v>1480</v>
      </c>
      <c r="E33" s="7" t="s">
        <v>1462</v>
      </c>
    </row>
    <row r="34" customFormat="false" ht="15" hidden="false" customHeight="false" outlineLevel="0" collapsed="false">
      <c r="A34" s="14" t="n">
        <v>131</v>
      </c>
      <c r="B34" s="14" t="s">
        <v>48</v>
      </c>
      <c r="C34" s="14" t="s">
        <v>899</v>
      </c>
      <c r="D34" s="14" t="s">
        <v>1493</v>
      </c>
      <c r="E34" s="7" t="s">
        <v>1462</v>
      </c>
    </row>
    <row r="35" customFormat="false" ht="15" hidden="false" customHeight="false" outlineLevel="0" collapsed="false">
      <c r="A35" s="14" t="n">
        <v>131</v>
      </c>
      <c r="B35" s="14" t="s">
        <v>1469</v>
      </c>
      <c r="C35" s="14" t="s">
        <v>107</v>
      </c>
      <c r="D35" s="14" t="s">
        <v>1470</v>
      </c>
      <c r="E35" s="7" t="s">
        <v>1462</v>
      </c>
    </row>
    <row r="36" customFormat="false" ht="15" hidden="false" customHeight="false" outlineLevel="0" collapsed="false">
      <c r="A36" s="14" t="n">
        <v>132</v>
      </c>
      <c r="B36" s="14" t="s">
        <v>48</v>
      </c>
      <c r="C36" s="14" t="s">
        <v>899</v>
      </c>
      <c r="D36" s="14" t="s">
        <v>1493</v>
      </c>
      <c r="E36" s="7" t="s">
        <v>1462</v>
      </c>
    </row>
    <row r="37" customFormat="false" ht="15" hidden="false" customHeight="false" outlineLevel="0" collapsed="false">
      <c r="A37" s="14" t="n">
        <v>132</v>
      </c>
      <c r="B37" s="14" t="s">
        <v>1469</v>
      </c>
      <c r="C37" s="14" t="s">
        <v>107</v>
      </c>
      <c r="D37" s="14" t="s">
        <v>1470</v>
      </c>
      <c r="E37" s="7" t="s">
        <v>1462</v>
      </c>
    </row>
    <row r="38" customFormat="false" ht="15" hidden="false" customHeight="false" outlineLevel="0" collapsed="false">
      <c r="A38" s="14" t="n">
        <v>135</v>
      </c>
      <c r="B38" s="14" t="s">
        <v>1469</v>
      </c>
      <c r="C38" s="14" t="s">
        <v>107</v>
      </c>
      <c r="D38" s="14" t="s">
        <v>1470</v>
      </c>
      <c r="E38" s="7" t="s">
        <v>1462</v>
      </c>
    </row>
  </sheetData>
  <autoFilter ref="A1:E38"/>
  <dataValidations count="1">
    <dataValidation allowBlank="true" errorStyle="stop" operator="between" showDropDown="false" showErrorMessage="false" showInputMessage="false" sqref="E2:E77" type="list">
      <formula1>"Pendiente,Resuelto,No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2026-10-26T16:48:04Z</dcterms:created>
  <dc:creator>openpyxl</dc:creator>
  <dc:description/>
  <dc:language>en-US</dc:language>
  <cp:lastModifiedBy/>
  <dcterms:modified xsi:type="dcterms:W3CDTF">2026-10-26T16:48:04Z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